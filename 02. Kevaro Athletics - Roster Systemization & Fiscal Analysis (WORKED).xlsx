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 Professional\Self Executed\03. Kevaro Athletics - Roster Systemization &amp; Fiscal Analysis\"/>
    </mc:Choice>
  </mc:AlternateContent>
  <xr:revisionPtr revIDLastSave="0" documentId="13_ncr:1_{D64A1B5A-80A1-4534-8D8E-A11AF25688F6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Location Details" sheetId="2" r:id="rId1"/>
    <sheet name="Sports Details" sheetId="3" r:id="rId2"/>
    <sheet name="Sportsmen" sheetId="13" r:id="rId3"/>
    <sheet name="Sportsmen-Fisal (Refined) " sheetId="1" r:id="rId4"/>
    <sheet name="Sportsmen-Fisal(Table)" sheetId="14" r:id="rId5"/>
    <sheet name="Sportsmen-Fisal (Analysis)" sheetId="10" r:id="rId6"/>
  </sheets>
  <definedNames>
    <definedName name="_xlnm._FilterDatabase" localSheetId="3" hidden="1">'Sportsmen-Fisal (Refined) '!$A$1:$U$51</definedName>
    <definedName name="_xlnm._FilterDatabase" localSheetId="4" hidden="1">'Sportsmen-Fisal(Table)'!$A$1:$N$51</definedName>
    <definedName name="_xlcn.WorksheetConnection_KevaroAthleticsCo..xlsxTable1" hidden="1">Table[]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  <pivotCache cacheId="13" r:id="rId20"/>
  </pivotCaches>
  <extLst>
    <ext xmlns:x15="http://schemas.microsoft.com/office/spreadsheetml/2010/11/main" uri="{FCE2AD5D-F65C-4FA6-A056-5C36A1767C68}">
      <x15:dataModel>
        <x15:modelTables>
          <x15:modelTable id="Table" name="Table" connection="WorksheetConnection_Kevaro Athletics &amp; Co..xlsx!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1" i="1" l="1"/>
  <c r="Q51" i="1"/>
  <c r="R51" i="1" s="1"/>
  <c r="M51" i="1"/>
  <c r="N51" i="1" s="1"/>
  <c r="L51" i="1"/>
  <c r="C51" i="1"/>
  <c r="B51" i="1"/>
  <c r="U50" i="1"/>
  <c r="Q50" i="1"/>
  <c r="R50" i="1" s="1"/>
  <c r="M50" i="1"/>
  <c r="N50" i="1" s="1"/>
  <c r="L50" i="1"/>
  <c r="C50" i="1"/>
  <c r="B50" i="1"/>
  <c r="U49" i="1"/>
  <c r="Q49" i="1"/>
  <c r="R49" i="1" s="1"/>
  <c r="M49" i="1"/>
  <c r="N49" i="1" s="1"/>
  <c r="L49" i="1"/>
  <c r="C49" i="1"/>
  <c r="B49" i="1"/>
  <c r="U48" i="1"/>
  <c r="Q48" i="1"/>
  <c r="R48" i="1" s="1"/>
  <c r="M48" i="1"/>
  <c r="N48" i="1" s="1"/>
  <c r="L48" i="1"/>
  <c r="C48" i="1"/>
  <c r="B48" i="1"/>
  <c r="U47" i="1"/>
  <c r="Q47" i="1"/>
  <c r="R47" i="1" s="1"/>
  <c r="M47" i="1"/>
  <c r="N47" i="1" s="1"/>
  <c r="L47" i="1"/>
  <c r="C47" i="1"/>
  <c r="B47" i="1"/>
  <c r="U46" i="1"/>
  <c r="Q46" i="1"/>
  <c r="R46" i="1" s="1"/>
  <c r="M46" i="1"/>
  <c r="N46" i="1" s="1"/>
  <c r="L46" i="1"/>
  <c r="C46" i="1"/>
  <c r="B46" i="1"/>
  <c r="U45" i="1"/>
  <c r="R45" i="1"/>
  <c r="Q45" i="1"/>
  <c r="M45" i="1"/>
  <c r="N45" i="1" s="1"/>
  <c r="L45" i="1"/>
  <c r="C45" i="1"/>
  <c r="B45" i="1"/>
  <c r="U44" i="1"/>
  <c r="Q44" i="1"/>
  <c r="R44" i="1" s="1"/>
  <c r="M44" i="1"/>
  <c r="N44" i="1" s="1"/>
  <c r="L44" i="1"/>
  <c r="C44" i="1"/>
  <c r="B44" i="1"/>
  <c r="U43" i="1"/>
  <c r="Q43" i="1"/>
  <c r="R43" i="1" s="1"/>
  <c r="M43" i="1"/>
  <c r="N43" i="1" s="1"/>
  <c r="L43" i="1"/>
  <c r="C43" i="1"/>
  <c r="B43" i="1"/>
  <c r="U42" i="1"/>
  <c r="Q42" i="1"/>
  <c r="R42" i="1" s="1"/>
  <c r="M42" i="1"/>
  <c r="N42" i="1" s="1"/>
  <c r="L42" i="1"/>
  <c r="C42" i="1"/>
  <c r="B42" i="1"/>
  <c r="U41" i="1"/>
  <c r="Q41" i="1"/>
  <c r="R41" i="1" s="1"/>
  <c r="M41" i="1"/>
  <c r="N41" i="1" s="1"/>
  <c r="L41" i="1"/>
  <c r="C41" i="1"/>
  <c r="B41" i="1"/>
  <c r="U40" i="1"/>
  <c r="Q40" i="1"/>
  <c r="R40" i="1" s="1"/>
  <c r="M40" i="1"/>
  <c r="N40" i="1" s="1"/>
  <c r="L40" i="1"/>
  <c r="C40" i="1"/>
  <c r="B40" i="1"/>
  <c r="U39" i="1"/>
  <c r="Q39" i="1"/>
  <c r="R39" i="1" s="1"/>
  <c r="M39" i="1"/>
  <c r="N39" i="1" s="1"/>
  <c r="L39" i="1"/>
  <c r="C39" i="1"/>
  <c r="B39" i="1"/>
  <c r="U38" i="1"/>
  <c r="Q38" i="1"/>
  <c r="R38" i="1" s="1"/>
  <c r="M38" i="1"/>
  <c r="N38" i="1" s="1"/>
  <c r="L38" i="1"/>
  <c r="C38" i="1"/>
  <c r="B38" i="1"/>
  <c r="U37" i="1"/>
  <c r="Q37" i="1"/>
  <c r="R37" i="1" s="1"/>
  <c r="M37" i="1"/>
  <c r="N37" i="1" s="1"/>
  <c r="L37" i="1"/>
  <c r="C37" i="1"/>
  <c r="B37" i="1"/>
  <c r="U36" i="1"/>
  <c r="Q36" i="1"/>
  <c r="R36" i="1" s="1"/>
  <c r="M36" i="1"/>
  <c r="N36" i="1" s="1"/>
  <c r="L36" i="1"/>
  <c r="C36" i="1"/>
  <c r="B36" i="1"/>
  <c r="U35" i="1"/>
  <c r="Q35" i="1"/>
  <c r="R35" i="1" s="1"/>
  <c r="M35" i="1"/>
  <c r="N35" i="1" s="1"/>
  <c r="L35" i="1"/>
  <c r="C35" i="1"/>
  <c r="B35" i="1"/>
  <c r="U34" i="1"/>
  <c r="Q34" i="1"/>
  <c r="R34" i="1" s="1"/>
  <c r="M34" i="1"/>
  <c r="N34" i="1" s="1"/>
  <c r="L34" i="1"/>
  <c r="C34" i="1"/>
  <c r="B34" i="1"/>
  <c r="U33" i="1"/>
  <c r="Q33" i="1"/>
  <c r="R33" i="1" s="1"/>
  <c r="M33" i="1"/>
  <c r="N33" i="1" s="1"/>
  <c r="L33" i="1"/>
  <c r="C33" i="1"/>
  <c r="B33" i="1"/>
  <c r="U32" i="1"/>
  <c r="Q32" i="1"/>
  <c r="R32" i="1" s="1"/>
  <c r="M32" i="1"/>
  <c r="N32" i="1" s="1"/>
  <c r="L32" i="1"/>
  <c r="C32" i="1"/>
  <c r="B32" i="1"/>
  <c r="U31" i="1"/>
  <c r="Q31" i="1"/>
  <c r="R31" i="1" s="1"/>
  <c r="M31" i="1"/>
  <c r="N31" i="1" s="1"/>
  <c r="L31" i="1"/>
  <c r="C31" i="1"/>
  <c r="B31" i="1"/>
  <c r="U30" i="1"/>
  <c r="Q30" i="1"/>
  <c r="R30" i="1" s="1"/>
  <c r="M30" i="1"/>
  <c r="N30" i="1" s="1"/>
  <c r="L30" i="1"/>
  <c r="C30" i="1"/>
  <c r="B30" i="1"/>
  <c r="U29" i="1"/>
  <c r="Q29" i="1"/>
  <c r="R29" i="1" s="1"/>
  <c r="M29" i="1"/>
  <c r="N29" i="1" s="1"/>
  <c r="L29" i="1"/>
  <c r="C29" i="1"/>
  <c r="B29" i="1"/>
  <c r="U28" i="1"/>
  <c r="Q28" i="1"/>
  <c r="R28" i="1" s="1"/>
  <c r="M28" i="1"/>
  <c r="N28" i="1" s="1"/>
  <c r="L28" i="1"/>
  <c r="C28" i="1"/>
  <c r="B28" i="1"/>
  <c r="U27" i="1"/>
  <c r="Q27" i="1"/>
  <c r="R27" i="1" s="1"/>
  <c r="M27" i="1"/>
  <c r="N27" i="1" s="1"/>
  <c r="L27" i="1"/>
  <c r="C27" i="1"/>
  <c r="B27" i="1"/>
  <c r="U26" i="1"/>
  <c r="Q26" i="1"/>
  <c r="R26" i="1" s="1"/>
  <c r="M26" i="1"/>
  <c r="N26" i="1" s="1"/>
  <c r="L26" i="1"/>
  <c r="C26" i="1"/>
  <c r="B26" i="1"/>
  <c r="U25" i="1"/>
  <c r="Q25" i="1"/>
  <c r="R25" i="1" s="1"/>
  <c r="M25" i="1"/>
  <c r="N25" i="1" s="1"/>
  <c r="L25" i="1"/>
  <c r="C25" i="1"/>
  <c r="B25" i="1"/>
  <c r="U24" i="1"/>
  <c r="Q24" i="1"/>
  <c r="R24" i="1" s="1"/>
  <c r="M24" i="1"/>
  <c r="N24" i="1" s="1"/>
  <c r="L24" i="1"/>
  <c r="C24" i="1"/>
  <c r="B24" i="1"/>
  <c r="U23" i="1"/>
  <c r="Q23" i="1"/>
  <c r="R23" i="1" s="1"/>
  <c r="M23" i="1"/>
  <c r="N23" i="1" s="1"/>
  <c r="L23" i="1"/>
  <c r="C23" i="1"/>
  <c r="B23" i="1"/>
  <c r="U22" i="1"/>
  <c r="Q22" i="1"/>
  <c r="R22" i="1" s="1"/>
  <c r="M22" i="1"/>
  <c r="N22" i="1" s="1"/>
  <c r="L22" i="1"/>
  <c r="C22" i="1"/>
  <c r="B22" i="1"/>
  <c r="U21" i="1"/>
  <c r="Q21" i="1"/>
  <c r="R21" i="1" s="1"/>
  <c r="M21" i="1"/>
  <c r="N21" i="1" s="1"/>
  <c r="L21" i="1"/>
  <c r="C21" i="1"/>
  <c r="B21" i="1"/>
  <c r="U20" i="1"/>
  <c r="Q20" i="1"/>
  <c r="R20" i="1" s="1"/>
  <c r="M20" i="1"/>
  <c r="N20" i="1" s="1"/>
  <c r="L20" i="1"/>
  <c r="C20" i="1"/>
  <c r="B20" i="1"/>
  <c r="U19" i="1"/>
  <c r="Q19" i="1"/>
  <c r="R19" i="1" s="1"/>
  <c r="M19" i="1"/>
  <c r="N19" i="1" s="1"/>
  <c r="L19" i="1"/>
  <c r="C19" i="1"/>
  <c r="B19" i="1"/>
  <c r="U18" i="1"/>
  <c r="Q18" i="1"/>
  <c r="R18" i="1" s="1"/>
  <c r="M18" i="1"/>
  <c r="N18" i="1" s="1"/>
  <c r="L18" i="1"/>
  <c r="C18" i="1"/>
  <c r="B18" i="1"/>
  <c r="U17" i="1"/>
  <c r="Q17" i="1"/>
  <c r="R17" i="1" s="1"/>
  <c r="N17" i="1"/>
  <c r="M17" i="1"/>
  <c r="L17" i="1"/>
  <c r="C17" i="1"/>
  <c r="B17" i="1"/>
  <c r="U16" i="1"/>
  <c r="Q16" i="1"/>
  <c r="R16" i="1" s="1"/>
  <c r="M16" i="1"/>
  <c r="N16" i="1" s="1"/>
  <c r="L16" i="1"/>
  <c r="C16" i="1"/>
  <c r="B16" i="1"/>
  <c r="U15" i="1"/>
  <c r="Q15" i="1"/>
  <c r="R15" i="1" s="1"/>
  <c r="M15" i="1"/>
  <c r="N15" i="1" s="1"/>
  <c r="L15" i="1"/>
  <c r="C15" i="1"/>
  <c r="B15" i="1"/>
  <c r="U14" i="1"/>
  <c r="Q14" i="1"/>
  <c r="R14" i="1" s="1"/>
  <c r="M14" i="1"/>
  <c r="N14" i="1" s="1"/>
  <c r="L14" i="1"/>
  <c r="C14" i="1"/>
  <c r="B14" i="1"/>
  <c r="U13" i="1"/>
  <c r="Q13" i="1"/>
  <c r="R13" i="1" s="1"/>
  <c r="M13" i="1"/>
  <c r="N13" i="1" s="1"/>
  <c r="L13" i="1"/>
  <c r="C13" i="1"/>
  <c r="B13" i="1"/>
  <c r="U12" i="1"/>
  <c r="Q12" i="1"/>
  <c r="R12" i="1" s="1"/>
  <c r="M12" i="1"/>
  <c r="N12" i="1" s="1"/>
  <c r="L12" i="1"/>
  <c r="C12" i="1"/>
  <c r="B12" i="1"/>
  <c r="U11" i="1"/>
  <c r="Q11" i="1"/>
  <c r="R11" i="1" s="1"/>
  <c r="M11" i="1"/>
  <c r="N11" i="1" s="1"/>
  <c r="L11" i="1"/>
  <c r="C11" i="1"/>
  <c r="B11" i="1"/>
  <c r="U10" i="1"/>
  <c r="Q10" i="1"/>
  <c r="R10" i="1" s="1"/>
  <c r="M10" i="1"/>
  <c r="N10" i="1" s="1"/>
  <c r="L10" i="1"/>
  <c r="C10" i="1"/>
  <c r="B10" i="1"/>
  <c r="U9" i="1"/>
  <c r="Q9" i="1"/>
  <c r="R9" i="1" s="1"/>
  <c r="M9" i="1"/>
  <c r="N9" i="1" s="1"/>
  <c r="L9" i="1"/>
  <c r="C9" i="1"/>
  <c r="B9" i="1"/>
  <c r="U8" i="1"/>
  <c r="Q8" i="1"/>
  <c r="R8" i="1" s="1"/>
  <c r="M8" i="1"/>
  <c r="N8" i="1" s="1"/>
  <c r="L8" i="1"/>
  <c r="C8" i="1"/>
  <c r="B8" i="1"/>
  <c r="U7" i="1"/>
  <c r="Q7" i="1"/>
  <c r="R7" i="1" s="1"/>
  <c r="M7" i="1"/>
  <c r="N7" i="1" s="1"/>
  <c r="L7" i="1"/>
  <c r="C7" i="1"/>
  <c r="B7" i="1"/>
  <c r="U6" i="1"/>
  <c r="Q6" i="1"/>
  <c r="R6" i="1" s="1"/>
  <c r="M6" i="1"/>
  <c r="N6" i="1" s="1"/>
  <c r="L6" i="1"/>
  <c r="C6" i="1"/>
  <c r="B6" i="1"/>
  <c r="U5" i="1"/>
  <c r="Q5" i="1"/>
  <c r="R5" i="1" s="1"/>
  <c r="M5" i="1"/>
  <c r="N5" i="1" s="1"/>
  <c r="L5" i="1"/>
  <c r="C5" i="1"/>
  <c r="B5" i="1"/>
  <c r="U4" i="1"/>
  <c r="Q4" i="1"/>
  <c r="R4" i="1" s="1"/>
  <c r="M4" i="1"/>
  <c r="N4" i="1" s="1"/>
  <c r="L4" i="1"/>
  <c r="C4" i="1"/>
  <c r="B4" i="1"/>
  <c r="U3" i="1"/>
  <c r="Q3" i="1"/>
  <c r="R3" i="1" s="1"/>
  <c r="M3" i="1"/>
  <c r="N3" i="1" s="1"/>
  <c r="L3" i="1"/>
  <c r="C3" i="1"/>
  <c r="B3" i="1"/>
  <c r="U2" i="1"/>
  <c r="Q2" i="1"/>
  <c r="R2" i="1" s="1"/>
  <c r="M2" i="1"/>
  <c r="N2" i="1" s="1"/>
  <c r="L2" i="1"/>
  <c r="C2" i="1"/>
  <c r="B2" i="1"/>
  <c r="B6" i="2"/>
  <c r="B6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AC23E-FFA5-4335-B3C5-57B33A3025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7DC5F63-1093-4709-9901-074EC5BEBB08}" name="WorksheetConnection_Kevaro Athletics &amp; Co..xlsx!Table" type="102" refreshedVersion="8" minRefreshableVersion="5" saveData="1">
    <extLst>
      <ext xmlns:x15="http://schemas.microsoft.com/office/spreadsheetml/2010/11/main" uri="{DE250136-89BD-433C-8126-D09CA5730AF9}">
        <x15:connection id="Table" autoDelete="1">
          <x15:rangePr sourceName="_xlcn.WorksheetConnection_KevaroAthleticsCo.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<sst xmlns="http://schemas.openxmlformats.org/spreadsheetml/2006/main" count="1941" uniqueCount="441">
  <si>
    <t>MEMBER ID</t>
  </si>
  <si>
    <t>FULL NAME</t>
  </si>
  <si>
    <t>PREFIX</t>
  </si>
  <si>
    <t>FIRSTNAME</t>
  </si>
  <si>
    <t>MIDDLENAME</t>
  </si>
  <si>
    <t>LASTNAME</t>
  </si>
  <si>
    <t>BIRTHDATE</t>
  </si>
  <si>
    <t>ZODIAC</t>
  </si>
  <si>
    <t>GENDER</t>
  </si>
  <si>
    <t>COUNTRYCODE</t>
  </si>
  <si>
    <t>COUNTRY NAME</t>
  </si>
  <si>
    <t>LANGUAGE</t>
  </si>
  <si>
    <t>EMAIL</t>
  </si>
  <si>
    <t>WEIGHT</t>
  </si>
  <si>
    <t>SPORT LOCATION</t>
  </si>
  <si>
    <t>SPORTS</t>
  </si>
  <si>
    <t>SALARY</t>
  </si>
  <si>
    <t>Ms.</t>
  </si>
  <si>
    <t>Annie</t>
  </si>
  <si>
    <t>Abbott</t>
  </si>
  <si>
    <t>Libra</t>
  </si>
  <si>
    <t>Female</t>
  </si>
  <si>
    <t>US</t>
  </si>
  <si>
    <t>A−</t>
  </si>
  <si>
    <t>Cycling Track</t>
  </si>
  <si>
    <t>80.73 k</t>
  </si>
  <si>
    <t>Aurelie</t>
  </si>
  <si>
    <t>Liesuchke</t>
  </si>
  <si>
    <t>Aquarius</t>
  </si>
  <si>
    <t>O−</t>
  </si>
  <si>
    <t>Boxing</t>
  </si>
  <si>
    <t>87.47 k</t>
  </si>
  <si>
    <t>Tomas</t>
  </si>
  <si>
    <t>Ferreira</t>
  </si>
  <si>
    <t>Filho</t>
  </si>
  <si>
    <t>Cancer</t>
  </si>
  <si>
    <t>Male</t>
  </si>
  <si>
    <t>BR</t>
  </si>
  <si>
    <t>Football</t>
  </si>
  <si>
    <t>64.72 k</t>
  </si>
  <si>
    <t>Darby</t>
  </si>
  <si>
    <t>Cruickshank</t>
  </si>
  <si>
    <t>Taurus</t>
  </si>
  <si>
    <t>Alpine Skiing</t>
  </si>
  <si>
    <t>110.8 k</t>
  </si>
  <si>
    <t>Dr.</t>
  </si>
  <si>
    <t>Jaydon</t>
  </si>
  <si>
    <t>Borer</t>
  </si>
  <si>
    <t>B−</t>
  </si>
  <si>
    <t>Water Polo</t>
  </si>
  <si>
    <t>56.92 k</t>
  </si>
  <si>
    <t>Mr.</t>
  </si>
  <si>
    <t>Moriah</t>
  </si>
  <si>
    <t>Lynch</t>
  </si>
  <si>
    <t>Sagittarius</t>
  </si>
  <si>
    <t>Fencing</t>
  </si>
  <si>
    <t>51.13 k</t>
  </si>
  <si>
    <t>Amiya</t>
  </si>
  <si>
    <t>Eichmann</t>
  </si>
  <si>
    <t>Leo</t>
  </si>
  <si>
    <t>Cycling Road</t>
  </si>
  <si>
    <t>65.47 k</t>
  </si>
  <si>
    <t>Pierce</t>
  </si>
  <si>
    <t>Rau</t>
  </si>
  <si>
    <t>A+</t>
  </si>
  <si>
    <t>Curling</t>
  </si>
  <si>
    <t>109.9 k</t>
  </si>
  <si>
    <t>Amelia</t>
  </si>
  <si>
    <t>Stevens</t>
  </si>
  <si>
    <t>GB</t>
  </si>
  <si>
    <t>Shooting</t>
  </si>
  <si>
    <t>60.06 k</t>
  </si>
  <si>
    <t>Toby</t>
  </si>
  <si>
    <t>Simpson</t>
  </si>
  <si>
    <t>O+</t>
  </si>
  <si>
    <t>32.76 k</t>
  </si>
  <si>
    <t>Sir</t>
  </si>
  <si>
    <t>Ethan</t>
  </si>
  <si>
    <t>Murphy</t>
  </si>
  <si>
    <t>Scorpio</t>
  </si>
  <si>
    <t>Freestyle Skiing</t>
  </si>
  <si>
    <t>99.61 k</t>
  </si>
  <si>
    <t>Mrs.</t>
  </si>
  <si>
    <t>Ashley</t>
  </si>
  <si>
    <t>Wood</t>
  </si>
  <si>
    <t>Archery</t>
  </si>
  <si>
    <t>56.60 k</t>
  </si>
  <si>
    <t>Megan</t>
  </si>
  <si>
    <t>Scott</t>
  </si>
  <si>
    <t>Rugby</t>
  </si>
  <si>
    <t>117.4 k</t>
  </si>
  <si>
    <t>Helmut</t>
  </si>
  <si>
    <t>Weinhae</t>
  </si>
  <si>
    <t>Virgo</t>
  </si>
  <si>
    <t>DE</t>
  </si>
  <si>
    <t>Canoe Sprint</t>
  </si>
  <si>
    <t>64.86 k</t>
  </si>
  <si>
    <t>Prof.</t>
  </si>
  <si>
    <t>Milena</t>
  </si>
  <si>
    <t>Schotin</t>
  </si>
  <si>
    <t>Pisces</t>
  </si>
  <si>
    <t>Cycling BMX</t>
  </si>
  <si>
    <t>10.24 k</t>
  </si>
  <si>
    <t>Lothar</t>
  </si>
  <si>
    <t>Birnbaum</t>
  </si>
  <si>
    <t>88.76 k</t>
  </si>
  <si>
    <t>Pietro</t>
  </si>
  <si>
    <t>Stolze</t>
  </si>
  <si>
    <t>Handball</t>
  </si>
  <si>
    <t>80.76 k</t>
  </si>
  <si>
    <t>Richard</t>
  </si>
  <si>
    <t>Tlustek</t>
  </si>
  <si>
    <t>Cycling Mountain Bike</t>
  </si>
  <si>
    <t>88.79 k</t>
  </si>
  <si>
    <t>Earnestine</t>
  </si>
  <si>
    <t>Raynor</t>
  </si>
  <si>
    <t>OZ</t>
  </si>
  <si>
    <t>Short Track Speed Skating</t>
  </si>
  <si>
    <t>63.53 k</t>
  </si>
  <si>
    <t>Jason</t>
  </si>
  <si>
    <t>Gaylord</t>
  </si>
  <si>
    <t>Capricorn</t>
  </si>
  <si>
    <t>Basketball</t>
  </si>
  <si>
    <t>46.35 k</t>
  </si>
  <si>
    <t>Kendrick</t>
  </si>
  <si>
    <t>Sauer</t>
  </si>
  <si>
    <t>Triathlon</t>
  </si>
  <si>
    <t>106.8 k</t>
  </si>
  <si>
    <t>Annabell</t>
  </si>
  <si>
    <t>Olson</t>
  </si>
  <si>
    <t>Aries</t>
  </si>
  <si>
    <t>Equestrian / Dressage</t>
  </si>
  <si>
    <t>96.47 k</t>
  </si>
  <si>
    <t>Jena</t>
  </si>
  <si>
    <t>Upton</t>
  </si>
  <si>
    <t>Beach Volleyball</t>
  </si>
  <si>
    <t>16.53 k</t>
  </si>
  <si>
    <t>Shanny</t>
  </si>
  <si>
    <t>Bins</t>
  </si>
  <si>
    <t>Canoe Slalom</t>
  </si>
  <si>
    <t>21.89 k</t>
  </si>
  <si>
    <t>Tia</t>
  </si>
  <si>
    <t>Abshire</t>
  </si>
  <si>
    <t>62.04 k</t>
  </si>
  <si>
    <t>Isabel</t>
  </si>
  <si>
    <t>Runolfsdottir</t>
  </si>
  <si>
    <t>B+</t>
  </si>
  <si>
    <t>89.74 k</t>
  </si>
  <si>
    <t>Barney</t>
  </si>
  <si>
    <t>Wesack</t>
  </si>
  <si>
    <t>AU</t>
  </si>
  <si>
    <t>Volleyball</t>
  </si>
  <si>
    <t>41.04 k</t>
  </si>
  <si>
    <t>Baruch</t>
  </si>
  <si>
    <t>Kade</t>
  </si>
  <si>
    <t>28.46 k</t>
  </si>
  <si>
    <t>Liesbeth</t>
  </si>
  <si>
    <t>Rosemann</t>
  </si>
  <si>
    <t>55.01 k</t>
  </si>
  <si>
    <t>Valentine</t>
  </si>
  <si>
    <t>Moreau</t>
  </si>
  <si>
    <t>FR</t>
  </si>
  <si>
    <t>Golf</t>
  </si>
  <si>
    <t>69.04 k</t>
  </si>
  <si>
    <t>Paulette</t>
  </si>
  <si>
    <t>Durand</t>
  </si>
  <si>
    <t>86.26 k</t>
  </si>
  <si>
    <t>Laure-Alix</t>
  </si>
  <si>
    <t>Chevalier</t>
  </si>
  <si>
    <t>19.23 k</t>
  </si>
  <si>
    <t>Claude</t>
  </si>
  <si>
    <t>Toussaint</t>
  </si>
  <si>
    <t>Diving</t>
  </si>
  <si>
    <t>95.12 k</t>
  </si>
  <si>
    <t>Victor</t>
  </si>
  <si>
    <t>Lenoir</t>
  </si>
  <si>
    <t>62.76 k</t>
  </si>
  <si>
    <t>Arthur</t>
  </si>
  <si>
    <t>Hockey</t>
  </si>
  <si>
    <t>108.4 k</t>
  </si>
  <si>
    <t>Benjamin</t>
  </si>
  <si>
    <t>Lebrun-Brun</t>
  </si>
  <si>
    <t>66.27 k</t>
  </si>
  <si>
    <t>Antoine</t>
  </si>
  <si>
    <t>Maillard</t>
  </si>
  <si>
    <t>Sailing</t>
  </si>
  <si>
    <t>33.97 k</t>
  </si>
  <si>
    <t>Bernard</t>
  </si>
  <si>
    <t>Hoarau-Guyon</t>
  </si>
  <si>
    <t>71.35 k</t>
  </si>
  <si>
    <t>Hidalgo</t>
  </si>
  <si>
    <t>Cantu</t>
  </si>
  <si>
    <t>Tercero</t>
  </si>
  <si>
    <t>AG</t>
  </si>
  <si>
    <t>116.4 k</t>
  </si>
  <si>
    <t>Hadalgo</t>
  </si>
  <si>
    <t>Polanco</t>
  </si>
  <si>
    <t>Gemini</t>
  </si>
  <si>
    <t>114.1 k</t>
  </si>
  <si>
    <t>Laura</t>
  </si>
  <si>
    <t>Oliviera</t>
  </si>
  <si>
    <t>Athletics</t>
  </si>
  <si>
    <t>79.87 k</t>
  </si>
  <si>
    <t>Ainhoa</t>
  </si>
  <si>
    <t>Garza</t>
  </si>
  <si>
    <t>ES</t>
  </si>
  <si>
    <t>Gymnastics Artistic</t>
  </si>
  <si>
    <t>102.0 k</t>
  </si>
  <si>
    <t>Banda</t>
  </si>
  <si>
    <t>50.66 k</t>
  </si>
  <si>
    <t>Carolota</t>
  </si>
  <si>
    <t>Mateos</t>
  </si>
  <si>
    <t>58.22 k</t>
  </si>
  <si>
    <t>Elize</t>
  </si>
  <si>
    <t>Prins</t>
  </si>
  <si>
    <t>DU</t>
  </si>
  <si>
    <t>Judo</t>
  </si>
  <si>
    <t>39.94 k</t>
  </si>
  <si>
    <t>Ryan</t>
  </si>
  <si>
    <t>Pham</t>
  </si>
  <si>
    <t>44.87 k</t>
  </si>
  <si>
    <t>Elise</t>
  </si>
  <si>
    <t>Rotteveel</t>
  </si>
  <si>
    <t>90.48 k</t>
  </si>
  <si>
    <t>Mirjam</t>
  </si>
  <si>
    <t>Soderberg</t>
  </si>
  <si>
    <t>SV</t>
  </si>
  <si>
    <t>38.97 k</t>
  </si>
  <si>
    <t>Berndt</t>
  </si>
  <si>
    <t>Palsson</t>
  </si>
  <si>
    <t>Biathlon</t>
  </si>
  <si>
    <t>35.39 k</t>
  </si>
  <si>
    <t>Adriano</t>
  </si>
  <si>
    <t>Pontes</t>
  </si>
  <si>
    <t>Sobrinho</t>
  </si>
  <si>
    <t>PR</t>
  </si>
  <si>
    <t>Swimming</t>
  </si>
  <si>
    <t>20.53 k</t>
  </si>
  <si>
    <t>English</t>
  </si>
  <si>
    <t>Portuguese</t>
  </si>
  <si>
    <t>German</t>
  </si>
  <si>
    <t>French</t>
  </si>
  <si>
    <t>Spanish</t>
  </si>
  <si>
    <t>Dutch</t>
  </si>
  <si>
    <t>Swedish</t>
  </si>
  <si>
    <t>USA</t>
  </si>
  <si>
    <t>BRAZIL</t>
  </si>
  <si>
    <t>UK</t>
  </si>
  <si>
    <t>GERMANY</t>
  </si>
  <si>
    <t>AUSTRALIA</t>
  </si>
  <si>
    <t>AUSTRIA</t>
  </si>
  <si>
    <t>FRANCE</t>
  </si>
  <si>
    <t>ARGENTINA</t>
  </si>
  <si>
    <t>SPAIN</t>
  </si>
  <si>
    <t>NETHERLANDS</t>
  </si>
  <si>
    <t>SWEDEN</t>
  </si>
  <si>
    <t>SPORTS TYPE</t>
  </si>
  <si>
    <t>INDOOR</t>
  </si>
  <si>
    <t>OUTDOOR</t>
  </si>
  <si>
    <t>BLOOD TYPE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</si>
  <si>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</si>
  <si>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</si>
  <si>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</si>
  <si>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</si>
  <si>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</si>
  <si>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</si>
  <si>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</si>
  <si>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</si>
  <si>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</si>
  <si>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</si>
  <si>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</si>
  <si>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</si>
  <si>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</si>
  <si>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</si>
  <si>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</si>
  <si>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</si>
  <si>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</si>
  <si>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</si>
  <si>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</si>
  <si>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</si>
  <si>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</si>
  <si>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</si>
  <si>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</si>
  <si>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</si>
  <si>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</si>
  <si>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</si>
  <si>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</si>
  <si>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</si>
  <si>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</si>
  <si>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</si>
  <si>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</si>
  <si>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</si>
  <si>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</si>
  <si>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</si>
  <si>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</si>
  <si>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</si>
  <si>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</si>
  <si>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</si>
  <si>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</si>
  <si>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</si>
  <si>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</si>
  <si>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</si>
  <si>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</si>
  <si>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</si>
  <si>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</si>
  <si>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</si>
  <si>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</si>
  <si>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</si>
  <si>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</si>
  <si>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</si>
  <si>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Ms. Annie  Abbott</t>
  </si>
  <si>
    <t>Ms. Aurelie  Liesuchke</t>
  </si>
  <si>
    <t>Ms. Darby  Cruickshank</t>
  </si>
  <si>
    <t>Dr. Jaydon  Borer</t>
  </si>
  <si>
    <t>Mr. Moriah  Lynch</t>
  </si>
  <si>
    <t>Ms. Amiya  Eichmann</t>
  </si>
  <si>
    <t>Mr. Pierce  Rau</t>
  </si>
  <si>
    <t>Ms. Amelia  Stevens</t>
  </si>
  <si>
    <t>Mr. Toby  Simpson</t>
  </si>
  <si>
    <t>Sir Ethan  Murphy</t>
  </si>
  <si>
    <t>Mrs. Ashley  Wood</t>
  </si>
  <si>
    <t>Ms. Megan  Scott</t>
  </si>
  <si>
    <t>Prof. Milena  Schotin</t>
  </si>
  <si>
    <t>Dr. Earnestine  Raynor</t>
  </si>
  <si>
    <t>Mr. Jason  Gaylord</t>
  </si>
  <si>
    <t>Mr. Kendrick  Sauer</t>
  </si>
  <si>
    <t>Dr. Annabell  Olson</t>
  </si>
  <si>
    <t>Dr. Jena  Upton</t>
  </si>
  <si>
    <t>Dr. Shanny  Bins</t>
  </si>
  <si>
    <t>Dr. Tia  Abshire</t>
  </si>
  <si>
    <t>Ms. Isabel  Runolfsdottir</t>
  </si>
  <si>
    <t>Prof. Liesbeth  Rosemann</t>
  </si>
  <si>
    <t>abbott.annie@xyz.org</t>
  </si>
  <si>
    <t>liesuchke.aurelie@xyz.org</t>
  </si>
  <si>
    <t>filho.tomas@xyz.com</t>
  </si>
  <si>
    <t>cruickshank.darby@xyz.org</t>
  </si>
  <si>
    <t>borer.jaydon@xyz.org</t>
  </si>
  <si>
    <t>lynch.moriah@xyz.org</t>
  </si>
  <si>
    <t>eichmann.amiya@xyz.org</t>
  </si>
  <si>
    <t>rau.pierce@xyz.org</t>
  </si>
  <si>
    <t>stevens.amelia@xyz.org</t>
  </si>
  <si>
    <t>simpson.toby@xyz.org</t>
  </si>
  <si>
    <t>murphy.ethan@xyz.org</t>
  </si>
  <si>
    <t>wood.ashley@xyz.org</t>
  </si>
  <si>
    <t>scott.megan@xyz.org</t>
  </si>
  <si>
    <t>weinhae.helmut@xyz.com</t>
  </si>
  <si>
    <t>schotin.milena@xyz.com</t>
  </si>
  <si>
    <t>birnbaum.lothar@xyz.com</t>
  </si>
  <si>
    <t>stolze.pietro@xyz.com</t>
  </si>
  <si>
    <t>tlustek.richard@xyz.com</t>
  </si>
  <si>
    <t>raynor.earnestine@xyz.org</t>
  </si>
  <si>
    <t>gaylord.jason@xyz.org</t>
  </si>
  <si>
    <t>sauer.kendrick@xyz.org</t>
  </si>
  <si>
    <t>olson.annabell@xyz.org</t>
  </si>
  <si>
    <t>upton.jena@xyz.org</t>
  </si>
  <si>
    <t>bins.shanny@xyz.org</t>
  </si>
  <si>
    <t>abshire.tia@xyz.org</t>
  </si>
  <si>
    <t>runolfsdottir.isabel@xyz.org</t>
  </si>
  <si>
    <t>wesack.barney@xyz.com</t>
  </si>
  <si>
    <t>kade.baruch@xyz.com</t>
  </si>
  <si>
    <t>rosemann.liesbeth@xyz.com</t>
  </si>
  <si>
    <t>moreau.valentine@xyz.com</t>
  </si>
  <si>
    <t>durand.paulette@xyz.com</t>
  </si>
  <si>
    <t>chevalier.laure-alix@xyz.com</t>
  </si>
  <si>
    <t>toussaint.claude@xyz.com</t>
  </si>
  <si>
    <t>lenoir.victor@xyz.com</t>
  </si>
  <si>
    <t>lenoir.arthur@xyz.com</t>
  </si>
  <si>
    <t>lebrun-brun.benjamin@xyz.com</t>
  </si>
  <si>
    <t>maillard.antoine@xyz.com</t>
  </si>
  <si>
    <t>hoarau-guyon.bernard@xyz.com</t>
  </si>
  <si>
    <t>tercero.hidalgo@xyz.com</t>
  </si>
  <si>
    <t>polanco.hadalgo@xyz.com</t>
  </si>
  <si>
    <t>oliviera.laura@xyz.com</t>
  </si>
  <si>
    <t>garza.ainhoa@xyz.com</t>
  </si>
  <si>
    <t>banda.isabel@xyz.com</t>
  </si>
  <si>
    <t>mateos.carolota@xyz.com</t>
  </si>
  <si>
    <t>prins.elize@xyz.com</t>
  </si>
  <si>
    <t>pham.ryan@xyz.com</t>
  </si>
  <si>
    <t>rotteveel.elise@xyz.com</t>
  </si>
  <si>
    <t>soderberg.mirjam@xyz.com</t>
  </si>
  <si>
    <t>palsson.berndt@xyz.com</t>
  </si>
  <si>
    <t>sobrinho.adriano@xyz.com</t>
  </si>
  <si>
    <t>BIRTHYEAR</t>
  </si>
  <si>
    <t>Grand Total</t>
  </si>
  <si>
    <t>Mr. Tomas Ferreira Filho</t>
  </si>
  <si>
    <t>Mr. Helmut  Weinhae</t>
  </si>
  <si>
    <t>Mr. Lothar  Birnbaum</t>
  </si>
  <si>
    <t>Mr. Pietro  Stolze</t>
  </si>
  <si>
    <t>Mr. Richard  Tlustek</t>
  </si>
  <si>
    <t>Mr. Barney  Wesack</t>
  </si>
  <si>
    <t>Mr. Baruch  Kade</t>
  </si>
  <si>
    <t>Mrs. Valentine  Moreau</t>
  </si>
  <si>
    <t>Mrs. Paulette  Durand</t>
  </si>
  <si>
    <t>Mrs. Laure-Alix  Chevalier</t>
  </si>
  <si>
    <t>Mr. Claude  Toussaint</t>
  </si>
  <si>
    <t>Mr. Victor  Lenoir</t>
  </si>
  <si>
    <t>Mr. Arthur  Lenoir</t>
  </si>
  <si>
    <t>Mr. Benjamin  Lebrun-Brun</t>
  </si>
  <si>
    <t>Mr. Antoine  Maillard</t>
  </si>
  <si>
    <t>Mr. Bernard  Hoarau-Guyon</t>
  </si>
  <si>
    <t>Mr. Hidalgo Cantu Tercero</t>
  </si>
  <si>
    <t>Mr. Hadalgo  Polanco</t>
  </si>
  <si>
    <t>Mrs. Laura  Oliviera</t>
  </si>
  <si>
    <t>Mrs. Ainhoa  Garza</t>
  </si>
  <si>
    <t>Mrs. Isabel  Banda</t>
  </si>
  <si>
    <t>Mrs. Carolota  Mateos</t>
  </si>
  <si>
    <t>Mrs. Elize  Prins</t>
  </si>
  <si>
    <t>Mr. Ryan  Pham</t>
  </si>
  <si>
    <t>Mrs. Elise  Rotteveel</t>
  </si>
  <si>
    <t>Mrs. Mirjam  Soderberg</t>
  </si>
  <si>
    <t>Mr. Berndt  Palsson</t>
  </si>
  <si>
    <t>Mr. Adriano Pontes Sobrinho</t>
  </si>
  <si>
    <t>Column Labels</t>
  </si>
  <si>
    <t>SALARY (OLD)</t>
  </si>
  <si>
    <t>Total Candidates</t>
  </si>
  <si>
    <t>Sports</t>
  </si>
  <si>
    <t>Country</t>
  </si>
  <si>
    <t>Total Salary</t>
  </si>
  <si>
    <t>Gender</t>
  </si>
  <si>
    <t>Average Weight</t>
  </si>
  <si>
    <t>Average Salary</t>
  </si>
  <si>
    <t>Distinct Count of Sports</t>
  </si>
  <si>
    <t>Sport Location</t>
  </si>
  <si>
    <t>Candidate Count</t>
  </si>
  <si>
    <t>Enlisted Sports (Distinct)</t>
  </si>
  <si>
    <t xml:space="preserve">SALARY </t>
  </si>
  <si>
    <t>BLOODTYPE</t>
  </si>
  <si>
    <t>Sr.</t>
  </si>
  <si>
    <t>Hr.</t>
  </si>
  <si>
    <t>Mme.</t>
  </si>
  <si>
    <t>M.</t>
  </si>
  <si>
    <t>Sra.</t>
  </si>
  <si>
    <t>Mw.</t>
  </si>
  <si>
    <t>dhr.</t>
  </si>
  <si>
    <t>Mw</t>
  </si>
  <si>
    <t>Fru.</t>
  </si>
  <si>
    <t>H.</t>
  </si>
  <si>
    <t>SPORT LOCATION (OLD)</t>
  </si>
  <si>
    <t>Indoor</t>
  </si>
  <si>
    <t>Outdoor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</si>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</sst>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,&quot;M&quot;"/>
    <numFmt numFmtId="165" formatCode="#,##0,&quot;M&quot;"/>
    <numFmt numFmtId="166" formatCode="0.0,\ &quot;K&quot;"/>
    <numFmt numFmtId="167" formatCode="0,&quot;K&quot;"/>
    <numFmt numFmtId="168" formatCode="0.0,&quot;K&quot;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Calibri"/>
    </font>
    <font>
      <sz val="11"/>
      <color theme="1"/>
      <name val="Calibri"/>
    </font>
    <font>
      <b/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FFFF00"/>
        <bgColor rgb="FF5B0F00"/>
      </patternFill>
    </fill>
    <fill>
      <patternFill patternType="solid">
        <fgColor rgb="FF5B0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2" xfId="0" applyFont="1" applyBorder="1"/>
    <xf numFmtId="0" fontId="2" fillId="2" borderId="3" xfId="0" applyFont="1" applyFill="1" applyBorder="1"/>
    <xf numFmtId="0" fontId="3" fillId="0" borderId="4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4" fillId="3" borderId="0" xfId="0" applyFont="1" applyFill="1" applyAlignment="1">
      <alignment horizont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6" fillId="0" borderId="0" xfId="0" applyFont="1"/>
    <xf numFmtId="0" fontId="7" fillId="0" borderId="0" xfId="0" applyFont="1"/>
    <xf numFmtId="167" fontId="0" fillId="0" borderId="0" xfId="0" applyNumberFormat="1"/>
    <xf numFmtId="168" fontId="0" fillId="0" borderId="0" xfId="0" applyNumberFormat="1"/>
    <xf numFmtId="0" fontId="8" fillId="0" borderId="0" xfId="0" applyFont="1"/>
    <xf numFmtId="0" fontId="9" fillId="4" borderId="0" xfId="0" applyFont="1" applyFill="1"/>
    <xf numFmtId="0" fontId="0" fillId="0" borderId="0" xfId="0" applyFill="1"/>
  </cellXfs>
  <cellStyles count="1">
    <cellStyle name="Normal" xfId="0" builtinId="0"/>
  </cellStyles>
  <dxfs count="24">
    <dxf>
      <numFmt numFmtId="1" formatCode="0"/>
    </dxf>
    <dxf>
      <numFmt numFmtId="164" formatCode="#,##0.0,&quot;M&quot;"/>
    </dxf>
    <dxf>
      <numFmt numFmtId="167" formatCode="0,&quot;K&quot;"/>
    </dxf>
    <dxf>
      <numFmt numFmtId="166" formatCode="0.0,\ &quot;K&quot;"/>
    </dxf>
    <dxf>
      <numFmt numFmtId="165" formatCode="#,##0,&quot;M&quot;"/>
    </dxf>
    <dxf>
      <numFmt numFmtId="166" formatCode="0.0,\ &quot;K&quot;"/>
    </dxf>
    <dxf>
      <numFmt numFmtId="168" formatCode="0.0,&quot;K&quot;"/>
    </dxf>
    <dxf>
      <numFmt numFmtId="1" formatCode="0"/>
    </dxf>
    <dxf>
      <numFmt numFmtId="1" formatCode="0"/>
    </dxf>
    <dxf>
      <numFmt numFmtId="167" formatCode="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solid">
          <fgColor rgb="FF5B0F00"/>
          <bgColor rgb="FFFFFF00"/>
        </patternFill>
      </fill>
      <alignment horizontal="center" vertical="bottom" textRotation="0" wrapText="0" indent="0" justifyLastLine="0" shrinkToFit="0" readingOrder="0"/>
    </dxf>
    <dxf>
      <font>
        <sz val="14"/>
      </font>
      <fill>
        <patternFill>
          <bgColor theme="9" tint="0.39994506668294322"/>
        </patternFill>
      </fill>
    </dxf>
    <dxf>
      <font>
        <sz val="9"/>
      </font>
      <fill>
        <patternFill>
          <bgColor theme="3" tint="0.14996795556505021"/>
        </patternFill>
      </fill>
    </dxf>
  </dxfs>
  <tableStyles count="1" defaultTableStyle="TableStyleMedium2" defaultPivotStyle="PivotStyleLight16">
    <tableStyle name="Slicer Style 13" pivot="0" table="0" count="10" xr9:uid="{EB4D4846-CE08-45BD-96E1-8869C76A2585}">
      <tableStyleElement type="wholeTable" dxfId="23"/>
      <tableStyleElement type="headerRow" dxfId="22"/>
    </tableStyle>
  </tableStyles>
  <extLst>
    <ext xmlns:x14="http://schemas.microsoft.com/office/spreadsheetml/2009/9/main" uri="{46F421CA-312F-682f-3DD2-61675219B42D}">
      <x14:dxfs count="8"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ont>
            <sz val="14"/>
          </font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93055558" backgroundQuery="1" createdVersion="8" refreshedVersion="8" minRefreshableVersion="3" recordCount="0" supportSubquery="1" supportAdvancedDrill="1" xr:uid="{2885B16A-C5C1-43B8-BF89-A499D93AA9FF}">
  <cacheSource type="external" connectionId="1"/>
  <cacheFields count="4">
    <cacheField name="[Table].[GENDER].[GENDER]" caption="GENDER" numFmtId="0" hierarchy="4" level="1">
      <sharedItems count="2">
        <s v="Female"/>
        <s v="Male"/>
      </sharedItems>
    </cacheField>
    <cacheField name="[Table].[SPORTS].[SPORTS]" caption="SPORTS" numFmtId="0" hierarchy="12" level="1">
      <sharedItems count="32">
        <s v="Alpine Skiing"/>
        <s v="Archery"/>
        <s v="Athletics"/>
        <s v="Basketball"/>
        <s v="Beach Volleyball"/>
        <s v="Biathlon"/>
        <s v="Boxing"/>
        <s v="Canoe Slalom"/>
        <s v="Canoe Sprint"/>
        <s v="Curling"/>
        <s v="Cycling BMX"/>
        <s v="Cycling Mountain Bike"/>
        <s v="Cycling Road"/>
        <s v="Cycling Track"/>
        <s v="Diving"/>
        <s v="Equestrian / Dressage"/>
        <s v="Fencing"/>
        <s v="Football"/>
        <s v="Freestyle Skiing"/>
        <s v="Golf"/>
        <s v="Gymnastics Artistic"/>
        <s v="Handball"/>
        <s v="Hockey"/>
        <s v="Judo"/>
        <s v="Rugby"/>
        <s v="Sailing"/>
        <s v="Shooting"/>
        <s v="Short Track Speed Skating"/>
        <s v="Swimming"/>
        <s v="Triathlon"/>
        <s v="Volleyball"/>
        <s v="Water Polo"/>
      </sharedItems>
    </cacheField>
    <cacheField name="[Measures].[Sum of SALARY]" caption="Sum of SALARY" numFmtId="0" hierarchy="17" level="32767"/>
    <cacheField name="[Table].[COUNTRY NAME].[COUNTRY NAME]" caption="COUNTRY NAME" numFmtId="0" hierarchy="6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0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3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1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72222222" backgroundQuery="1" createdVersion="8" refreshedVersion="8" minRefreshableVersion="3" recordCount="0" supportSubquery="1" supportAdvancedDrill="1" xr:uid="{EB5060C8-B897-42FD-8288-B447F8D16417}">
  <cacheSource type="external" connectionId="1"/>
  <cacheFields count="4">
    <cacheField name="[Table].[GENDER].[GENDER]" caption="GENDER" numFmtId="0" hierarchy="4" level="1">
      <sharedItems count="2">
        <s v="Female"/>
        <s v="Male"/>
      </sharedItems>
    </cacheField>
    <cacheField name="[Measures].[Count of MEMBER ID]" caption="Count of MEMBER ID" numFmtId="0" hierarchy="16" level="32767"/>
    <cacheField name="[Table].[SPORTS].[SPORTS]" caption="SPORTS" numFmtId="0" hierarchy="12" level="1">
      <sharedItems count="32">
        <s v="Alpine Skiing"/>
        <s v="Archery"/>
        <s v="Athletics"/>
        <s v="Basketball"/>
        <s v="Beach Volleyball"/>
        <s v="Biathlon"/>
        <s v="Boxing"/>
        <s v="Canoe Slalom"/>
        <s v="Canoe Sprint"/>
        <s v="Curling"/>
        <s v="Cycling BMX"/>
        <s v="Cycling Mountain Bike"/>
        <s v="Cycling Road"/>
        <s v="Cycling Track"/>
        <s v="Diving"/>
        <s v="Equestrian / Dressage"/>
        <s v="Fencing"/>
        <s v="Football"/>
        <s v="Freestyle Skiing"/>
        <s v="Golf"/>
        <s v="Gymnastics Artistic"/>
        <s v="Handball"/>
        <s v="Hockey"/>
        <s v="Judo"/>
        <s v="Rugby"/>
        <s v="Sailing"/>
        <s v="Shooting"/>
        <s v="Short Track Speed Skating"/>
        <s v="Swimming"/>
        <s v="Triathlon"/>
        <s v="Volleyball"/>
        <s v="Water Polo"/>
      </sharedItems>
    </cacheField>
    <cacheField name="[Table].[COUNTRY NAME].[COUNTRY NAME]" caption="COUNTRY NAME" numFmtId="0" hierarchy="6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0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3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2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oneField="1" hidden="1">
      <fieldsUsage count="1">
        <fieldUsage x="1"/>
      </fieldsUsage>
    </cacheHierarchy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59953706" backgroundQuery="1" createdVersion="8" refreshedVersion="8" minRefreshableVersion="3" recordCount="0" supportSubquery="1" supportAdvancedDrill="1" xr:uid="{5EB9E549-3381-4D04-A76E-5F3C41CA0ED0}">
  <cacheSource type="external" connectionId="1"/>
  <cacheFields count="4">
    <cacheField name="[Measures].[Average of SALARY]" caption="Average of SALARY" numFmtId="0" hierarchy="20" level="32767"/>
    <cacheField name="[Table].[COUNTRY NAME].[COUNTRY NAME]" caption="COUNTRY NAME" numFmtId="0" hierarchy="6" level="1">
      <sharedItems count="11">
        <s v="ARGENTINA"/>
        <s v="AUSTRALIA"/>
        <s v="AUSTRIA"/>
        <s v="BRAZIL"/>
        <s v="FRANCE"/>
        <s v="GERMANY"/>
        <s v="NETHERLANDS"/>
        <s v="SPAIN"/>
        <s v="SWEDEN"/>
        <s v="UK"/>
        <s v="USA"/>
      </sharedItems>
    </cacheField>
    <cacheField name="[Table].[GENDER].[GENDER]" caption="GENDER" numFmtId="0" hierarchy="4" level="1">
      <sharedItems containsSemiMixedTypes="0" containsNonDate="0" containsString="0"/>
    </cacheField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2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1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3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63194446" backgroundQuery="1" createdVersion="8" refreshedVersion="8" minRefreshableVersion="3" recordCount="0" supportSubquery="1" supportAdvancedDrill="1" xr:uid="{9DB4AC85-8BFA-478A-8AB0-16FFE1E02F0C}">
  <cacheSource type="external" connectionId="1"/>
  <cacheFields count="4">
    <cacheField name="[Table].[COUNTRY NAME].[COUNTRY NAME]" caption="COUNTRY NAME" numFmtId="0" hierarchy="6" level="1">
      <sharedItems count="11">
        <s v="ARGENTINA"/>
        <s v="AUSTRALIA"/>
        <s v="AUSTRIA"/>
        <s v="BRAZIL"/>
        <s v="FRANCE"/>
        <s v="GERMANY"/>
        <s v="NETHERLANDS"/>
        <s v="SPAIN"/>
        <s v="SWEDEN"/>
        <s v="UK"/>
        <s v="USA"/>
      </sharedItems>
    </cacheField>
    <cacheField name="[Measures].[Distinct Count of SPORTS]" caption="Distinct Count of SPORTS" numFmtId="0" hierarchy="22" level="32767"/>
    <cacheField name="[Table].[GENDER].[GENDER]" caption="GENDER" numFmtId="0" hierarchy="4" level="1">
      <sharedItems containsSemiMixedTypes="0" containsNonDate="0" containsString="0"/>
    </cacheField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2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0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3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57175927" backgroundQuery="1" createdVersion="8" refreshedVersion="8" minRefreshableVersion="3" recordCount="0" supportSubquery="1" supportAdvancedDrill="1" xr:uid="{E6564275-E368-47BF-AC14-C7CC8E3F123D}">
  <cacheSource type="external" connectionId="1"/>
  <cacheFields count="4">
    <cacheField name="[Measures].[Average of SALARY]" caption="Average of SALARY" numFmtId="0" hierarchy="20" level="32767"/>
    <cacheField name="[Table].[SPORTS].[SPORTS]" caption="SPORTS" numFmtId="0" hierarchy="12" level="1">
      <sharedItems count="32">
        <s v="Alpine Skiing"/>
        <s v="Archery"/>
        <s v="Athletics"/>
        <s v="Basketball"/>
        <s v="Beach Volleyball"/>
        <s v="Biathlon"/>
        <s v="Boxing"/>
        <s v="Canoe Slalom"/>
        <s v="Canoe Sprint"/>
        <s v="Curling"/>
        <s v="Cycling BMX"/>
        <s v="Cycling Mountain Bike"/>
        <s v="Cycling Road"/>
        <s v="Cycling Track"/>
        <s v="Diving"/>
        <s v="Equestrian / Dressage"/>
        <s v="Fencing"/>
        <s v="Football"/>
        <s v="Freestyle Skiing"/>
        <s v="Golf"/>
        <s v="Gymnastics Artistic"/>
        <s v="Handball"/>
        <s v="Hockey"/>
        <s v="Judo"/>
        <s v="Rugby"/>
        <s v="Sailing"/>
        <s v="Shooting"/>
        <s v="Short Track Speed Skating"/>
        <s v="Swimming"/>
        <s v="Triathlon"/>
        <s v="Volleyball"/>
        <s v="Water Polo"/>
      </sharedItems>
    </cacheField>
    <cacheField name="[Table].[GENDER].[GENDER]" caption="GENDER" numFmtId="0" hierarchy="4" level="1">
      <sharedItems count="2">
        <s v="Female"/>
        <s v="Male"/>
      </sharedItems>
    </cacheField>
    <cacheField name="[Table].[COUNTRY NAME].[COUNTRY NAME]" caption="COUNTRY NAME" numFmtId="0" hierarchy="6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2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3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1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89814818" backgroundQuery="1" createdVersion="8" refreshedVersion="8" minRefreshableVersion="3" recordCount="0" supportSubquery="1" supportAdvancedDrill="1" xr:uid="{93FF493D-3DA2-453D-99D4-F7D00EE01862}">
  <cacheSource type="external" connectionId="1"/>
  <cacheFields count="4">
    <cacheField name="[Measures].[Count of MEMBER ID]" caption="Count of MEMBER ID" numFmtId="0" hierarchy="16" level="32767"/>
    <cacheField name="[Table].[GENDER].[GENDER]" caption="GENDER" numFmtId="0" hierarchy="4" level="1">
      <sharedItems containsSemiMixedTypes="0" containsNonDate="0" containsString="0"/>
    </cacheField>
    <cacheField name="[Table].[COUNTRY NAME].[COUNTRY NAME]" caption="COUNTRY NAME" numFmtId="0" hierarchy="6" level="1">
      <sharedItems containsSemiMixedTypes="0" containsNonDate="0" containsString="0"/>
    </cacheField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1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2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3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oneField="1" hidden="1">
      <fieldsUsage count="1">
        <fieldUsage x="0"/>
      </fieldsUsage>
    </cacheHierarchy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69212966" backgroundQuery="1" createdVersion="8" refreshedVersion="8" minRefreshableVersion="3" recordCount="0" supportSubquery="1" supportAdvancedDrill="1" xr:uid="{D751BEED-549E-4DB1-9A68-4344D92EC657}">
  <cacheSource type="external" connectionId="1"/>
  <cacheFields count="4">
    <cacheField name="[Table].[GENDER].[GENDER]" caption="GENDER" numFmtId="0" hierarchy="4" level="1">
      <sharedItems count="2">
        <s v="Female"/>
        <s v="Male"/>
      </sharedItems>
    </cacheField>
    <cacheField name="[Measures].[Count of MEMBER ID]" caption="Count of MEMBER ID" numFmtId="0" hierarchy="16" level="32767"/>
    <cacheField name="[Table].[COUNTRY NAME].[COUNTRY NAME]" caption="COUNTRY NAME" numFmtId="0" hierarchy="6" level="1">
      <sharedItems count="11">
        <s v="ARGENTINA"/>
        <s v="AUSTRALIA"/>
        <s v="AUSTRIA"/>
        <s v="BRAZIL"/>
        <s v="FRANCE"/>
        <s v="GERMANY"/>
        <s v="NETHERLANDS"/>
        <s v="SPAIN"/>
        <s v="SWEDEN"/>
        <s v="UK"/>
        <s v="USA"/>
      </sharedItems>
    </cacheField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0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2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3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oneField="1" hidden="1">
      <fieldsUsage count="1">
        <fieldUsage x="1"/>
      </fieldsUsage>
    </cacheHierarchy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76157409" backgroundQuery="1" createdVersion="8" refreshedVersion="8" minRefreshableVersion="3" recordCount="0" supportSubquery="1" supportAdvancedDrill="1" xr:uid="{8624CC72-E4D2-4257-A655-BBA9B9781464}">
  <cacheSource type="external" connectionId="1"/>
  <cacheFields count="4">
    <cacheField name="[Table].[GENDER].[GENDER]" caption="GENDER" numFmtId="0" hierarchy="4" level="1">
      <sharedItems count="2">
        <s v="Female"/>
        <s v="Male"/>
      </sharedItems>
    </cacheField>
    <cacheField name="[Table].[COUNTRY NAME].[COUNTRY NAME]" caption="COUNTRY NAME" numFmtId="0" hierarchy="6" level="1">
      <sharedItems count="11">
        <s v="ARGENTINA"/>
        <s v="AUSTRALIA"/>
        <s v="AUSTRIA"/>
        <s v="BRAZIL"/>
        <s v="FRANCE"/>
        <s v="GERMANY"/>
        <s v="NETHERLANDS"/>
        <s v="SPAIN"/>
        <s v="SWEDEN"/>
        <s v="UK"/>
        <s v="USA"/>
      </sharedItems>
    </cacheField>
    <cacheField name="[Measures].[Sum of SALARY]" caption="Sum of SALARY" numFmtId="0" hierarchy="17" level="32767"/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0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1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3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73148145" backgroundQuery="1" createdVersion="8" refreshedVersion="8" minRefreshableVersion="3" recordCount="0" supportSubquery="1" supportAdvancedDrill="1" xr:uid="{8932B1F6-E6E9-4157-868B-4915E604FE59}">
  <cacheSource type="external" connectionId="1"/>
  <cacheFields count="5">
    <cacheField name="[Table].[SALARY].[SALARY]" caption="SALARY" numFmtId="0" hierarchy="13" level="1">
      <sharedItems containsSemiMixedTypes="0" containsString="0" containsNumber="1" minValue="10240" maxValue="117400" count="50">
        <n v="10240"/>
        <n v="16530"/>
        <n v="19230"/>
        <n v="20530"/>
        <n v="21890"/>
        <n v="28460"/>
        <n v="32759.999999999996"/>
        <n v="33970"/>
        <n v="35390"/>
        <n v="38970"/>
        <n v="39940"/>
        <n v="41040"/>
        <n v="44870"/>
        <n v="46350"/>
        <n v="50660"/>
        <n v="51130"/>
        <n v="55010"/>
        <n v="56600"/>
        <n v="56920"/>
        <n v="58220"/>
        <n v="60060"/>
        <n v="62040"/>
        <n v="62760"/>
        <n v="63530"/>
        <n v="64720"/>
        <n v="64860"/>
        <n v="65470"/>
        <n v="66270"/>
        <n v="69040"/>
        <n v="71350"/>
        <n v="79870"/>
        <n v="80730"/>
        <n v="80760"/>
        <n v="86260"/>
        <n v="87470"/>
        <n v="88760"/>
        <n v="88790"/>
        <n v="89740"/>
        <n v="90480"/>
        <n v="95120"/>
        <n v="96470"/>
        <n v="99610"/>
        <n v="102000"/>
        <n v="106800"/>
        <n v="108400"/>
        <n v="109900"/>
        <n v="110800"/>
        <n v="114100"/>
        <n v="116400"/>
        <n v="117400"/>
      </sharedItems>
    </cacheField>
    <cacheField name="[Measures].[Sum of SALARY]" caption="Sum of SALARY" numFmtId="0" hierarchy="17" level="32767"/>
    <cacheField name="[Table].[SPORTS].[SPORTS]" caption="SPORTS" numFmtId="0" hierarchy="12" level="1">
      <sharedItems count="32">
        <s v="Alpine Skiing"/>
        <s v="Archery"/>
        <s v="Athletics"/>
        <s v="Basketball"/>
        <s v="Beach Volleyball"/>
        <s v="Biathlon"/>
        <s v="Boxing"/>
        <s v="Canoe Slalom"/>
        <s v="Canoe Sprint"/>
        <s v="Curling"/>
        <s v="Cycling BMX"/>
        <s v="Cycling Mountain Bike"/>
        <s v="Cycling Road"/>
        <s v="Cycling Track"/>
        <s v="Diving"/>
        <s v="Equestrian / Dressage"/>
        <s v="Fencing"/>
        <s v="Football"/>
        <s v="Freestyle Skiing"/>
        <s v="Golf"/>
        <s v="Gymnastics Artistic"/>
        <s v="Handball"/>
        <s v="Hockey"/>
        <s v="Judo"/>
        <s v="Rugby"/>
        <s v="Sailing"/>
        <s v="Shooting"/>
        <s v="Short Track Speed Skating"/>
        <s v="Swimming"/>
        <s v="Triathlon"/>
        <s v="Volleyball"/>
        <s v="Water Polo"/>
      </sharedItems>
    </cacheField>
    <cacheField name="[Table].[COUNTRY NAME].[COUNTRY NAME]" caption="COUNTRY NAME" numFmtId="0" hierarchy="6" level="1">
      <sharedItems count="11">
        <s v="ARGENTINA"/>
        <s v="AUSTRALIA"/>
        <s v="AUSTRIA"/>
        <s v="BRAZIL"/>
        <s v="FRANCE"/>
        <s v="GERMANY"/>
        <s v="NETHERLANDS"/>
        <s v="SPAIN"/>
        <s v="SWEDEN"/>
        <s v="UK"/>
        <s v="USA"/>
      </sharedItems>
    </cacheField>
    <cacheField name="[Table].[GENDER].[GENDER]" caption="GENDER" numFmtId="0" hierarchy="4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4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3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2"/>
      </fieldsUsage>
    </cacheHierarchy>
    <cacheHierarchy uniqueName="[Table].[SALARY]" caption="SALARY" attribute="1" defaultMemberUniqueName="[Table].[SALARY].[All]" allUniqueName="[Table].[SALARY].[All]" dimensionUniqueName="[Table]" displayFolder="" count="2" memberValueDatatype="5" unbalanced="0">
      <fieldsUsage count="2">
        <fieldUsage x="-1"/>
        <fieldUsage x="0"/>
      </fieldsUsage>
    </cacheHierarchy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66203702" backgroundQuery="1" createdVersion="8" refreshedVersion="8" minRefreshableVersion="3" recordCount="0" supportSubquery="1" supportAdvancedDrill="1" xr:uid="{264AC92E-4D9D-4F66-976F-5F799F5CF17A}">
  <cacheSource type="external" connectionId="1"/>
  <cacheFields count="5">
    <cacheField name="[Measures].[Distinct Count of SPORTS]" caption="Distinct Count of SPORTS" numFmtId="0" hierarchy="22" level="32767"/>
    <cacheField name="[Table].[SPORT LOCATION].[SPORT LOCATION]" caption="SPORT LOCATION" numFmtId="0" hierarchy="11" level="1">
      <sharedItems count="2">
        <s v="Indoor"/>
        <s v="Outdoor"/>
      </sharedItems>
    </cacheField>
    <cacheField name="[Table].[GENDER].[GENDER]" caption="GENDER" numFmtId="0" hierarchy="4" level="1">
      <sharedItems containsSemiMixedTypes="0" containsNonDate="0" containsString="0"/>
    </cacheField>
    <cacheField name="[Table].[COUNTRY NAME].[COUNTRY NAME]" caption="COUNTRY NAME" numFmtId="0" hierarchy="6" level="1">
      <sharedItems containsSemiMixedTypes="0" containsNonDate="0" containsString="0"/>
    </cacheField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2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3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2" memberValueDatatype="130" unbalanced="0">
      <fieldsUsage count="2">
        <fieldUsage x="-1"/>
        <fieldUsage x="1"/>
      </fieldsUsage>
    </cacheHierarchy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4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83912037" backgroundQuery="1" createdVersion="8" refreshedVersion="8" minRefreshableVersion="3" recordCount="0" supportSubquery="1" supportAdvancedDrill="1" xr:uid="{77BA377E-E64B-47B4-9C84-B3A0464EDED4}">
  <cacheSource type="external" connectionId="1"/>
  <cacheFields count="4">
    <cacheField name="[Measures].[Count of MEMBER ID]" caption="Count of MEMBER ID" numFmtId="0" hierarchy="16" level="32767"/>
    <cacheField name="[Table].[GENDER].[GENDER]" caption="GENDER" numFmtId="0" hierarchy="4" level="1">
      <sharedItems count="2">
        <s v="Female"/>
        <s v="Male"/>
      </sharedItems>
    </cacheField>
    <cacheField name="[Table].[COUNTRY NAME].[COUNTRY NAME]" caption="COUNTRY NAME" numFmtId="0" hierarchy="6" level="1">
      <sharedItems containsSemiMixedTypes="0" containsNonDate="0" containsString="0"/>
    </cacheField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1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2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3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oneField="1" hidden="1">
      <fieldsUsage count="1">
        <fieldUsage x="0"/>
      </fieldsUsage>
    </cacheHierarchy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79050926" backgroundQuery="1" createdVersion="8" refreshedVersion="8" minRefreshableVersion="3" recordCount="0" supportSubquery="1" supportAdvancedDrill="1" xr:uid="{EE8E9A3E-9EAB-4ED6-98AC-E86423B70862}">
  <cacheSource type="external" connectionId="1"/>
  <cacheFields count="4">
    <cacheField name="[Measures].[Distinct Count of SPORTS]" caption="Distinct Count of SPORTS" numFmtId="0" hierarchy="22" level="32767"/>
    <cacheField name="[Table].[GENDER].[GENDER]" caption="GENDER" numFmtId="0" hierarchy="4" level="1">
      <sharedItems containsSemiMixedTypes="0" containsNonDate="0" containsString="0"/>
    </cacheField>
    <cacheField name="[Table].[COUNTRY NAME].[COUNTRY NAME]" caption="COUNTRY NAME" numFmtId="0" hierarchy="6" level="1">
      <sharedItems containsSemiMixedTypes="0" containsNonDate="0" containsString="0"/>
    </cacheField>
    <cacheField name="[Table].[SPORTS].[SPORTS]" caption="SPORTS" numFmtId="0" hierarchy="12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1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2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3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87037039" backgroundQuery="1" createdVersion="8" refreshedVersion="8" minRefreshableVersion="3" recordCount="0" supportSubquery="1" supportAdvancedDrill="1" xr:uid="{8DFA4C64-47F3-495B-BD5E-29117EC6BE75}">
  <cacheSource type="external" connectionId="1"/>
  <cacheFields count="5">
    <cacheField name="[Table].[SALARY].[SALARY]" caption="SALARY" numFmtId="0" hierarchy="13" level="1">
      <sharedItems containsSemiMixedTypes="0" containsString="0" containsNumber="1" minValue="10240" maxValue="117400" count="50">
        <n v="10240"/>
        <n v="16530"/>
        <n v="19230"/>
        <n v="20530"/>
        <n v="21890"/>
        <n v="28460"/>
        <n v="32759.999999999996"/>
        <n v="33970"/>
        <n v="35390"/>
        <n v="38970"/>
        <n v="39940"/>
        <n v="41040"/>
        <n v="44870"/>
        <n v="46350"/>
        <n v="50660"/>
        <n v="51130"/>
        <n v="55010"/>
        <n v="56600"/>
        <n v="56920"/>
        <n v="58220"/>
        <n v="60060"/>
        <n v="62040"/>
        <n v="62760"/>
        <n v="63530"/>
        <n v="64720"/>
        <n v="64860"/>
        <n v="65470"/>
        <n v="66270"/>
        <n v="69040"/>
        <n v="71350"/>
        <n v="79870"/>
        <n v="80730"/>
        <n v="80760"/>
        <n v="86260"/>
        <n v="87470"/>
        <n v="88760"/>
        <n v="88790"/>
        <n v="89740"/>
        <n v="90480"/>
        <n v="95120"/>
        <n v="96470"/>
        <n v="99610"/>
        <n v="102000"/>
        <n v="106800"/>
        <n v="108400"/>
        <n v="109900"/>
        <n v="110800"/>
        <n v="114100"/>
        <n v="116400"/>
        <n v="117400"/>
      </sharedItems>
    </cacheField>
    <cacheField name="[Measures].[Sum of SALARY]" caption="Sum of SALARY" numFmtId="0" hierarchy="17" level="32767"/>
    <cacheField name="[Table].[SPORTS].[SPORTS]" caption="SPORTS" numFmtId="0" hierarchy="12" level="1">
      <sharedItems count="32">
        <s v="Alpine Skiing"/>
        <s v="Archery"/>
        <s v="Athletics"/>
        <s v="Basketball"/>
        <s v="Beach Volleyball"/>
        <s v="Biathlon"/>
        <s v="Boxing"/>
        <s v="Canoe Slalom"/>
        <s v="Canoe Sprint"/>
        <s v="Curling"/>
        <s v="Cycling BMX"/>
        <s v="Cycling Mountain Bike"/>
        <s v="Cycling Road"/>
        <s v="Cycling Track"/>
        <s v="Diving"/>
        <s v="Equestrian / Dressage"/>
        <s v="Fencing"/>
        <s v="Football"/>
        <s v="Freestyle Skiing"/>
        <s v="Golf"/>
        <s v="Gymnastics Artistic"/>
        <s v="Handball"/>
        <s v="Hockey"/>
        <s v="Judo"/>
        <s v="Rugby"/>
        <s v="Sailing"/>
        <s v="Shooting"/>
        <s v="Short Track Speed Skating"/>
        <s v="Swimming"/>
        <s v="Triathlon"/>
        <s v="Volleyball"/>
        <s v="Water Polo"/>
      </sharedItems>
    </cacheField>
    <cacheField name="[Table].[GENDER].[GENDER]" caption="GENDER" numFmtId="0" hierarchy="4" level="1">
      <sharedItems containsSemiMixedTypes="0" containsNonDate="0" containsString="0"/>
    </cacheField>
    <cacheField name="[Table].[COUNTRY NAME].[COUNTRY NAME]" caption="COUNTRY NAME" numFmtId="0" hierarchy="6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3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4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2"/>
      </fieldsUsage>
    </cacheHierarchy>
    <cacheHierarchy uniqueName="[Table].[SALARY]" caption="SALARY" attribute="1" defaultMemberUniqueName="[Table].[SALARY].[All]" allUniqueName="[Table].[SALARY].[All]" dimensionUniqueName="[Table]" displayFolder="" count="2" memberValueDatatype="5" unbalanced="0">
      <fieldsUsage count="2">
        <fieldUsage x="-1"/>
        <fieldUsage x="0"/>
      </fieldsUsage>
    </cacheHierarchy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 Chakraborty" refreshedDate="46078.032152083331" backgroundQuery="1" createdVersion="8" refreshedVersion="8" minRefreshableVersion="3" recordCount="0" supportSubquery="1" supportAdvancedDrill="1" xr:uid="{DCF5AC5A-D9A1-4971-AC25-42B9C25BCEB8}">
  <cacheSource type="external" connectionId="1"/>
  <cacheFields count="4">
    <cacheField name="[Measures].[Average of WEIGHT]" caption="Average of WEIGHT" numFmtId="0" hierarchy="19" level="32767"/>
    <cacheField name="[Table].[SPORTS].[SPORTS]" caption="SPORTS" numFmtId="0" hierarchy="12" level="1">
      <sharedItems count="32">
        <s v="Alpine Skiing"/>
        <s v="Archery"/>
        <s v="Athletics"/>
        <s v="Basketball"/>
        <s v="Beach Volleyball"/>
        <s v="Biathlon"/>
        <s v="Boxing"/>
        <s v="Canoe Slalom"/>
        <s v="Canoe Sprint"/>
        <s v="Curling"/>
        <s v="Cycling BMX"/>
        <s v="Cycling Mountain Bike"/>
        <s v="Cycling Road"/>
        <s v="Cycling Track"/>
        <s v="Diving"/>
        <s v="Equestrian / Dressage"/>
        <s v="Fencing"/>
        <s v="Football"/>
        <s v="Freestyle Skiing"/>
        <s v="Golf"/>
        <s v="Gymnastics Artistic"/>
        <s v="Handball"/>
        <s v="Hockey"/>
        <s v="Judo"/>
        <s v="Rugby"/>
        <s v="Sailing"/>
        <s v="Shooting"/>
        <s v="Short Track Speed Skating"/>
        <s v="Swimming"/>
        <s v="Triathlon"/>
        <s v="Volleyball"/>
        <s v="Water Polo"/>
      </sharedItems>
    </cacheField>
    <cacheField name="[Table].[GENDER].[GENDER]" caption="GENDER" numFmtId="0" hierarchy="4" level="1">
      <sharedItems count="2">
        <s v="Female"/>
        <s v="Male"/>
      </sharedItems>
    </cacheField>
    <cacheField name="[Table].[COUNTRY NAME].[COUNTRY NAME]" caption="COUNTRY NAME" numFmtId="0" hierarchy="6" level="1">
      <sharedItems containsSemiMixedTypes="0" containsNonDate="0" containsString="0"/>
    </cacheField>
  </cacheFields>
  <cacheHierarchies count="23">
    <cacheHierarchy uniqueName="[Table].[MEMBER ID]" caption="MEMBER ID" attribute="1" defaultMemberUniqueName="[Table].[MEMBER ID].[All]" allUniqueName="[Table].[MEMBER ID].[All]" dimensionUniqueName="[Table]" displayFolder="" count="0" memberValueDatatype="130" unbalanced="0"/>
    <cacheHierarchy uniqueName="[Table].[FULL NAME]" caption="FULL NAME" attribute="1" defaultMemberUniqueName="[Table].[FULL NAME].[All]" allUniqueName="[Table].[FULL NAME].[All]" dimensionUniqueName="[Table]" displayFolder="" count="0" memberValueDatatype="130" unbalanced="0"/>
    <cacheHierarchy uniqueName="[Table].[BIRTHYEAR]" caption="BIRTHYEAR" attribute="1" defaultMemberUniqueName="[Table].[BIRTHYEAR].[All]" allUniqueName="[Table].[BIRTHYEAR].[All]" dimensionUniqueName="[Table]" displayFolder="" count="0" memberValueDatatype="20" unbalanced="0"/>
    <cacheHierarchy uniqueName="[Table].[ZODIAC]" caption="ZODIAC" attribute="1" defaultMemberUniqueName="[Table].[ZODIAC].[All]" allUniqueName="[Table].[ZODIAC].[All]" dimensionUniqueName="[Table]" displayFolder="" count="0" memberValueDatatype="130" unbalanced="0"/>
    <cacheHierarchy uniqueName="[Table].[GENDER]" caption="GENDER" attribute="1" defaultMemberUniqueName="[Table].[GENDER].[All]" allUniqueName="[Table].[GENDER].[All]" dimensionUniqueName="[Table]" displayFolder="" count="2" memberValueDatatype="130" unbalanced="0">
      <fieldsUsage count="2">
        <fieldUsage x="-1"/>
        <fieldUsage x="2"/>
      </fieldsUsage>
    </cacheHierarchy>
    <cacheHierarchy uniqueName="[Table].[COUNTRY CODE]" caption="COUNTRY CODE" attribute="1" defaultMemberUniqueName="[Table].[COUNTRY CODE].[All]" allUniqueName="[Table].[COUNTRY CODE].[All]" dimensionUniqueName="[Table]" displayFolder="" count="0" memberValueDatatype="130" unbalanced="0"/>
    <cacheHierarchy uniqueName="[Table].[COUNTRY NAME]" caption="COUNTRY NAME" attribute="1" defaultMemberUniqueName="[Table].[COUNTRY NAME].[All]" allUniqueName="[Table].[COUNTRY NAME].[All]" dimensionUniqueName="[Table]" displayFolder="" count="2" memberValueDatatype="130" unbalanced="0">
      <fieldsUsage count="2">
        <fieldUsage x="-1"/>
        <fieldUsage x="3"/>
      </fieldsUsage>
    </cacheHierarchy>
    <cacheHierarchy uniqueName="[Table].[LANGUAGE]" caption="LANGUAGE" attribute="1" defaultMemberUniqueName="[Table].[LANGUAGE].[All]" allUniqueName="[Table].[LANGUAGE].[All]" dimensionUniqueName="[Table]" displayFolder="" count="0" memberValueDatatype="130" unbalanced="0"/>
    <cacheHierarchy uniqueName="[Table].[EMAIL]" caption="EMAIL" attribute="1" defaultMemberUniqueName="[Table].[EMAIL].[All]" allUniqueName="[Table].[EMAIL].[All]" dimensionUniqueName="[Table]" displayFolder="" count="0" memberValueDatatype="130" unbalanced="0"/>
    <cacheHierarchy uniqueName="[Table].[WEIGHT]" caption="WEIGHT" attribute="1" defaultMemberUniqueName="[Table].[WEIGHT].[All]" allUniqueName="[Table].[WEIGHT].[All]" dimensionUniqueName="[Table]" displayFolder="" count="0" memberValueDatatype="20" unbalanced="0"/>
    <cacheHierarchy uniqueName="[Table].[BLOOD TYPE]" caption="BLOOD TYPE" attribute="1" defaultMemberUniqueName="[Table].[BLOOD TYPE].[All]" allUniqueName="[Table].[BLOOD TYPE].[All]" dimensionUniqueName="[Table]" displayFolder="" count="0" memberValueDatatype="130" unbalanced="0"/>
    <cacheHierarchy uniqueName="[Table].[SPORT LOCATION]" caption="SPORT LOCATION" attribute="1" defaultMemberUniqueName="[Table].[SPORT LOCATION].[All]" allUniqueName="[Table].[SPORT LOCATION].[All]" dimensionUniqueName="[Table]" displayFolder="" count="0" memberValueDatatype="130" unbalanced="0"/>
    <cacheHierarchy uniqueName="[Table].[SPORTS]" caption="SPORTS" attribute="1" defaultMemberUniqueName="[Table].[SPORTS].[All]" allUniqueName="[Table].[SPORTS].[All]" dimensionUniqueName="[Table]" displayFolder="" count="2" memberValueDatatype="130" unbalanced="0">
      <fieldsUsage count="2">
        <fieldUsage x="-1"/>
        <fieldUsage x="1"/>
      </fieldsUsage>
    </cacheHierarchy>
    <cacheHierarchy uniqueName="[Table].[SALARY]" caption="SALARY" attribute="1" defaultMemberUniqueName="[Table].[SALARY].[All]" allUniqueName="[Table].[SALARY].[All]" dimensionUniqueName="[Table]" displayFolder="" count="0" memberValueDatatype="5" unbalanced="0"/>
    <cacheHierarchy uniqueName="[Measures].[__XL_Count Table]" caption="__XL_Count Table" measure="1" displayFolder="" measureGroup="Table" count="0" hidden="1"/>
    <cacheHierarchy uniqueName="[Measures].[__No measures defined]" caption="__No measures defined" measure="1" displayFolder="" count="0" hidden="1"/>
    <cacheHierarchy uniqueName="[Measures].[Count of MEMBER ID]" caption="Count of MEMBER ID" measure="1" displayFolder="" measureGroup="Table" count="0" hidden="1"/>
    <cacheHierarchy uniqueName="[Measures].[Sum of SALARY]" caption="Sum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EIGHT]" caption="Sum of WEIGHT" measure="1" displayFolder="" measureGroup="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WEIGHT]" caption="Average of WEIGHT" measure="1" displayFolder="" measureGroup="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LARY]" caption="Average of SALARY" measure="1" displayFolder="" measureGroup="Tab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PORTS]" caption="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PORTS]" caption="Distinct Count of SPORTS" measure="1" displayFolder="" measureGroup="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" uniqueName="[Table]" caption="Table"/>
  </dimensions>
  <measureGroups count="1">
    <measureGroup name="Table" caption="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C58C6-F7FB-4A33-92E4-6E0CC75267C1}" name="Country VS Total Salary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1" rowHeaderCaption="Country">
  <location ref="A64:B76" firstHeaderRow="1" firstDataRow="1" firstDataCol="1"/>
  <pivotFields count="5">
    <pivotField allDrilled="1" subtotalTop="0" showAll="0" sortType="descending" defaultSubtotal="0" defaultAttributeDrillState="1">
      <items count="50"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ataSourceSort="1" defaultSubtotal="0" defaultAttributeDrillState="1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 Salary" fld="1" baseField="0" baseItem="0" numFmtId="167"/>
  </dataFields>
  <formats count="1">
    <format dxfId="9">
      <pivotArea outline="0" collapsedLevelsAreSubtotals="1" fieldPosition="0"/>
    </format>
  </formats>
  <chartFormats count="36"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Salary"/>
    <pivotHierarchy dragToData="1"/>
    <pivotHierarchy dragToData="1"/>
    <pivotHierarchy dragToData="1"/>
    <pivotHierarchy dragToData="1" caption="Count of SPORTS"/>
    <pivotHierarchy dragToData="1" caption="Distinct Count of SPORTS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56431-DBB2-4E5D-A567-0643199694E4}" name="Country VS Distinct Sports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2" rowHeaderCaption="Country">
  <location ref="A281:B293" firstHeaderRow="1" firstDataRow="1" firstDataCol="1"/>
  <pivotFields count="4">
    <pivotField axis="axisRow" allDrilled="1" subtotalTop="0" showAll="0" sortType="descending" defaultSubtotal="0" defaultAttributeDrillState="1">
      <items count="11"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Distinct Count of Sport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8">
      <pivotArea outline="0" collapsedLevelsAreSubtotals="1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WEIGHT"/>
    <pivotHierarchy dragToData="1" caption="Average of SALARY"/>
    <pivotHierarchy dragToData="1" caption="Count of SPORTS"/>
    <pivotHierarchy dragToData="1" caption="Distinct Count of Sports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D73EA-68BD-450B-88FC-F32B7FD31C74}" name="Sports Location VS Sports Count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9" rowHeaderCaption="Sport Location">
  <location ref="A296:B299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Distinct Count of Sport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7">
      <pivotArea outline="0" collapsedLevelsAreSubtotals="1" fieldPosition="0"/>
    </format>
  </format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WEIGHT"/>
    <pivotHierarchy dragToData="1" caption="Average of SALARY"/>
    <pivotHierarchy dragToData="1" caption="Count of SPORTS"/>
    <pivotHierarchy dragToData="1" caption="Distinct Count of Sports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62307-8E10-467A-9B16-174CDA8EAEE7}" name="Sports VS Average Salary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2" rowHeaderCaption="Sports" colHeaderCaption="Gender">
  <location ref="A228:D262" firstHeaderRow="1" firstDataRow="2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Salary" fld="0" subtotal="average" baseField="0" baseItem="0" numFmtId="166"/>
  </dataFields>
  <formats count="2">
    <format dxfId="5">
      <pivotArea outline="0" collapsedLevelsAreSubtotals="1" fieldPosition="0"/>
    </format>
    <format dxfId="6">
      <pivotArea collapsedLevelsAreSubtotals="1" fieldPosition="0">
        <references count="1">
          <reference field="1" count="0"/>
        </references>
      </pivotArea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2" count="1" selected="0">
            <x v="0"/>
          </reference>
        </references>
      </pivotArea>
    </chartFormat>
    <chartFormat chart="1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WEIGHT"/>
    <pivotHierarchy dragToData="1" caption="Average Salar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EC9F2-2103-4F3E-9208-1E01BBA9044A}" name="Male Candidate Count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Gender">
  <location ref="A14:B17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andidate Count" fld="0" subtotal="count" baseField="0" baseItem="0"/>
  </dataField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 caption="Candidate Cou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0D258-522F-471D-9294-C3FEAD214664}" name="Total Candidates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4:A5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Total Candidates" fld="0" subtotal="count" baseField="0" baseItem="0"/>
  </dataField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 caption="Total Candidat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60393-6718-4B16-A4F0-EFE9727EBCFF}" name="Sports VS Total Salary - Gender Distribution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2" rowHeaderCaption="Sports" colHeaderCaption="Gender">
  <location ref="A153:D187" firstHeaderRow="1" firstDataRow="2" firstDataCol="1"/>
  <pivotFields count="4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sortType="a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Salary" fld="2" baseField="0" baseItem="0" numFmtId="165"/>
  </dataFields>
  <formats count="1">
    <format dxfId="4">
      <pivotArea outline="0" collapsedLevelsAreSubtotals="1" fieldPosition="0"/>
    </format>
  </formats>
  <chartFormats count="7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0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0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</references>
      </pivotArea>
    </chartFormat>
    <chartFormat chart="1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0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1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1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1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11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11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1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1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11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11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11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4"/>
          </reference>
        </references>
      </pivotArea>
    </chartFormat>
    <chartFormat chart="11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Sala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A80CD-815C-4E27-A2E6-72D74A2966F3}" name="Candidates Count VS Sports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7" rowHeaderCaption="Sports" colHeaderCaption="Gender">
  <location ref="A98:D132" firstHeaderRow="1" firstDataRow="2" firstDataCol="1"/>
  <pivotFields count="4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llDrilled="1" subtotalTop="0" showAll="0" dataSourceSort="1" defaultSubtotal="0" defaultAttributeDrillState="1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Candidates" fld="1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 caption="Total Candidat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22363-2148-417F-9FAC-6794A2864897}" name="Enlisted Sports (Distinct)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20:A21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Enlisted Sports (Distinct)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Enlisted Sports (Distinct)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5A009-9B5A-43DE-AF86-9F4B19270585}" name="Candidates Count VS Country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4" rowHeaderCaption="Country" colHeaderCaption="Gender">
  <location ref="A81:D94" firstHeaderRow="1" firstDataRow="2" firstDataCol="1"/>
  <pivotFields count="4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ataSourceSort="1" defaultSubtotal="0" defaultAttributeDrillState="1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Candidates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 caption="Total Candidat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2078C-EEA4-4F13-AC5C-F9DC0882BF8B}" name="Country VS Average Salary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6" rowHeaderCaption="Country">
  <location ref="A265:B277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Salary" fld="0" subtotal="average" baseField="0" baseItem="0" numFmtId="166"/>
  </dataFields>
  <formats count="1">
    <format dxfId="3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WEIGHT"/>
    <pivotHierarchy dragToData="1" caption="Average Salar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EBE69-5BE6-4FD5-B026-E2440F93AA91}" name="Sport VS Total Salary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3" rowHeaderCaption="Sports">
  <location ref="A25:B58" firstHeaderRow="1" firstDataRow="1" firstDataCol="1"/>
  <pivotFields count="5">
    <pivotField allDrilled="1" subtotalTop="0" showAll="0" sortType="descending" defaultSubtotal="0" defaultAttributeDrillState="1">
      <items count="50"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Total Salary" fld="1" baseField="0" baseItem="0" numFmtId="167"/>
  </dataFields>
  <formats count="1">
    <format dxfId="2">
      <pivotArea outline="0" collapsedLevelsAreSubtotals="1" fieldPosition="0"/>
    </format>
  </formats>
  <chartFormats count="5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Salary"/>
    <pivotHierarchy dragToData="1"/>
    <pivotHierarchy dragToData="1"/>
    <pivotHierarchy dragToData="1"/>
    <pivotHierarchy dragToData="1" caption="Count of SPORTS"/>
    <pivotHierarchy dragToData="1" caption="Distinct Count of SPORTS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AFF30-4B82-4FD2-B6B9-4370090CCB5F}" name="Country VS Total Salary - Gender Distribution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5" rowHeaderCaption="Country" colHeaderCaption="Gender">
  <location ref="A136:D149" firstHeaderRow="1" firstDataRow="2" firstDataCol="1"/>
  <pivotFields count="4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Salary" fld="2" baseField="0" baseItem="0" numFmtId="164"/>
  </dataFields>
  <formats count="1">
    <format dxfId="1">
      <pivotArea outline="0" collapsedLevelsAreSubtotals="1" fieldPosition="0"/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17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Sala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A3F10-C402-465E-94A3-80AD0A8A5FE0}" name="Sports VS Candidate's Average Weight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1" rowHeaderCaption="Sports">
  <location ref="A190:D224" firstHeaderRow="1" firstDataRow="2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1"/>
  </rowFields>
  <rowItems count="33">
    <i>
      <x v="5"/>
    </i>
    <i>
      <x/>
    </i>
    <i>
      <x v="17"/>
    </i>
    <i>
      <x v="3"/>
    </i>
    <i>
      <x v="2"/>
    </i>
    <i>
      <x v="20"/>
    </i>
    <i>
      <x v="14"/>
    </i>
    <i>
      <x v="12"/>
    </i>
    <i>
      <x v="23"/>
    </i>
    <i>
      <x v="26"/>
    </i>
    <i>
      <x v="8"/>
    </i>
    <i>
      <x v="27"/>
    </i>
    <i>
      <x v="11"/>
    </i>
    <i>
      <x v="19"/>
    </i>
    <i>
      <x v="29"/>
    </i>
    <i>
      <x v="7"/>
    </i>
    <i>
      <x v="13"/>
    </i>
    <i>
      <x v="4"/>
    </i>
    <i>
      <x v="16"/>
    </i>
    <i>
      <x v="24"/>
    </i>
    <i>
      <x v="15"/>
    </i>
    <i>
      <x v="6"/>
    </i>
    <i>
      <x v="31"/>
    </i>
    <i>
      <x v="30"/>
    </i>
    <i>
      <x v="22"/>
    </i>
    <i>
      <x v="28"/>
    </i>
    <i>
      <x v="25"/>
    </i>
    <i>
      <x v="1"/>
    </i>
    <i>
      <x v="18"/>
    </i>
    <i>
      <x v="10"/>
    </i>
    <i>
      <x v="21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Weight" fld="0" subtotal="average" baseField="0" baseItem="0" numFmtId="1"/>
  </dataFields>
  <formats count="1">
    <format dxfId="0">
      <pivotArea outline="0" collapsedLevelsAreSubtotals="1" fieldPosition="0"/>
    </format>
  </formats>
  <chartFormats count="1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2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2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2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Weigh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aro Athletics &amp; Co..xlsx!Table">
        <x15:activeTabTopLevelEntity name="[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67D279-06F7-439F-92EB-7BC7588F06EE}" name="Table" displayName="Table" ref="A1:N51" totalsRowShown="0" headerRowDxfId="21" dataDxfId="20">
  <autoFilter ref="A1:N51" xr:uid="{00000000-0001-0000-0000-000000000000}"/>
  <tableColumns count="14">
    <tableColumn id="1" xr3:uid="{1EAA7594-5554-452B-8A28-BAC7DEFA210E}" name="MEMBER ID" dataDxfId="19"/>
    <tableColumn id="2" xr3:uid="{3BAA3E7F-E936-4072-9552-CC03F30745AE}" name="FULL NAME"/>
    <tableColumn id="3" xr3:uid="{3DA1E886-3CFA-4738-AA62-02FE8B8E0063}" name="BIRTHYEAR" dataDxfId="18"/>
    <tableColumn id="4" xr3:uid="{5923F91F-1787-468A-A7DA-118359320040}" name="ZODIAC" dataDxfId="17"/>
    <tableColumn id="5" xr3:uid="{2CF09357-2595-4083-9D31-B238B34C7854}" name="GENDER" dataDxfId="16"/>
    <tableColumn id="6" xr3:uid="{97C25371-4CC1-46EA-8B8F-D4598F45BB2A}" name="COUNTRY CODE" dataDxfId="15"/>
    <tableColumn id="7" xr3:uid="{22F5D43E-EF4D-4B1E-9870-F116A96BACAC}" name="COUNTRY NAME"/>
    <tableColumn id="8" xr3:uid="{8A889EC4-1DC2-4313-A3DE-ADBA3A45380E}" name="LANGUAGE"/>
    <tableColumn id="9" xr3:uid="{9A1BA744-748B-4798-BDFE-90BD84D62BBC}" name="EMAIL" dataDxfId="14"/>
    <tableColumn id="10" xr3:uid="{A5EE6F2E-31A4-4E4C-A8F9-27378D23C014}" name="WEIGHT" dataDxfId="13"/>
    <tableColumn id="11" xr3:uid="{1FB8A1A2-2125-49D2-916F-791625E03F31}" name="BLOOD TYPE" dataDxfId="12"/>
    <tableColumn id="12" xr3:uid="{CCF713B8-F32B-4EAD-A1A6-BC1825E14DF6}" name="SPORT LOCATION"/>
    <tableColumn id="13" xr3:uid="{916606B3-82C0-4EE8-9876-1954FDF36168}" name="SPORTS" dataDxfId="11"/>
    <tableColumn id="14" xr3:uid="{25051C69-0016-4918-9FB2-AF46CEA23CD5}" name="SALARY 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8"/>
  <sheetViews>
    <sheetView zoomScale="96" workbookViewId="0">
      <selection activeCell="H10" sqref="H10"/>
    </sheetView>
  </sheetViews>
  <sheetFormatPr defaultColWidth="12.6328125" defaultRowHeight="15.75" customHeight="1" x14ac:dyDescent="0.25"/>
  <cols>
    <col min="2" max="3" width="14.90625" bestFit="1" customWidth="1"/>
    <col min="4" max="4" width="15.36328125" bestFit="1" customWidth="1"/>
  </cols>
  <sheetData>
    <row r="1" spans="1:13" ht="15.75" customHeight="1" x14ac:dyDescent="0.35">
      <c r="A1" s="2" t="s">
        <v>11</v>
      </c>
      <c r="B1" s="3" t="s">
        <v>238</v>
      </c>
      <c r="C1" s="3" t="s">
        <v>239</v>
      </c>
      <c r="D1" s="3" t="s">
        <v>238</v>
      </c>
      <c r="E1" s="3" t="s">
        <v>240</v>
      </c>
      <c r="F1" s="3" t="s">
        <v>238</v>
      </c>
      <c r="G1" s="3" t="s">
        <v>240</v>
      </c>
      <c r="H1" s="3" t="s">
        <v>241</v>
      </c>
      <c r="I1" s="3" t="s">
        <v>242</v>
      </c>
      <c r="J1" s="3" t="s">
        <v>242</v>
      </c>
      <c r="K1" s="3" t="s">
        <v>243</v>
      </c>
      <c r="L1" s="3" t="s">
        <v>244</v>
      </c>
      <c r="M1" s="3" t="s">
        <v>239</v>
      </c>
    </row>
    <row r="2" spans="1:13" ht="15.75" customHeight="1" x14ac:dyDescent="0.35">
      <c r="A2" s="4" t="s">
        <v>9</v>
      </c>
      <c r="B2" s="5" t="s">
        <v>22</v>
      </c>
      <c r="C2" s="5" t="s">
        <v>37</v>
      </c>
      <c r="D2" s="5" t="s">
        <v>69</v>
      </c>
      <c r="E2" s="5" t="s">
        <v>94</v>
      </c>
      <c r="F2" s="5" t="s">
        <v>116</v>
      </c>
      <c r="G2" s="5" t="s">
        <v>150</v>
      </c>
      <c r="H2" s="5" t="s">
        <v>161</v>
      </c>
      <c r="I2" s="5" t="s">
        <v>193</v>
      </c>
      <c r="J2" s="5" t="s">
        <v>205</v>
      </c>
      <c r="K2" s="5" t="s">
        <v>215</v>
      </c>
      <c r="L2" s="5" t="s">
        <v>226</v>
      </c>
      <c r="M2" s="5" t="s">
        <v>235</v>
      </c>
    </row>
    <row r="3" spans="1:13" ht="15.75" customHeight="1" x14ac:dyDescent="0.35">
      <c r="A3" s="4" t="s">
        <v>10</v>
      </c>
      <c r="B3" s="5" t="s">
        <v>245</v>
      </c>
      <c r="C3" s="5" t="s">
        <v>246</v>
      </c>
      <c r="D3" s="5" t="s">
        <v>247</v>
      </c>
      <c r="E3" s="5" t="s">
        <v>248</v>
      </c>
      <c r="F3" s="5" t="s">
        <v>249</v>
      </c>
      <c r="G3" s="5" t="s">
        <v>250</v>
      </c>
      <c r="H3" s="5" t="s">
        <v>251</v>
      </c>
      <c r="I3" s="5" t="s">
        <v>252</v>
      </c>
      <c r="J3" s="5" t="s">
        <v>253</v>
      </c>
      <c r="K3" s="5" t="s">
        <v>254</v>
      </c>
      <c r="L3" s="5" t="s">
        <v>255</v>
      </c>
      <c r="M3" s="5" t="s">
        <v>246</v>
      </c>
    </row>
    <row r="6" spans="1:13" ht="15.75" customHeight="1" x14ac:dyDescent="0.25">
      <c r="B6" t="str" cm="1">
        <f t="array" ref="B6:D18">TRANSPOSE(A1:M3)</f>
        <v>LANGUAGE</v>
      </c>
      <c r="C6" t="str">
        <v>COUNTRYCODE</v>
      </c>
      <c r="D6" t="str">
        <v>COUNTRY NAME</v>
      </c>
      <c r="E6" t="s">
        <v>11</v>
      </c>
    </row>
    <row r="7" spans="1:13" ht="15.75" customHeight="1" x14ac:dyDescent="0.25">
      <c r="B7" t="str">
        <v>English</v>
      </c>
      <c r="C7" t="str">
        <v>US</v>
      </c>
      <c r="D7" t="str">
        <v>USA</v>
      </c>
      <c r="E7" t="s">
        <v>238</v>
      </c>
    </row>
    <row r="8" spans="1:13" ht="15.75" customHeight="1" x14ac:dyDescent="0.25">
      <c r="B8" t="str">
        <v>Portuguese</v>
      </c>
      <c r="C8" t="str">
        <v>BR</v>
      </c>
      <c r="D8" t="str">
        <v>BRAZIL</v>
      </c>
      <c r="E8" t="s">
        <v>239</v>
      </c>
    </row>
    <row r="9" spans="1:13" ht="15.75" customHeight="1" x14ac:dyDescent="0.25">
      <c r="B9" t="str">
        <v>English</v>
      </c>
      <c r="C9" t="str">
        <v>GB</v>
      </c>
      <c r="D9" t="str">
        <v>UK</v>
      </c>
      <c r="E9" t="s">
        <v>238</v>
      </c>
    </row>
    <row r="10" spans="1:13" ht="15.75" customHeight="1" x14ac:dyDescent="0.25">
      <c r="B10" t="str">
        <v>German</v>
      </c>
      <c r="C10" t="str">
        <v>DE</v>
      </c>
      <c r="D10" t="str">
        <v>GERMANY</v>
      </c>
      <c r="E10" t="s">
        <v>240</v>
      </c>
    </row>
    <row r="11" spans="1:13" ht="15.75" customHeight="1" x14ac:dyDescent="0.25">
      <c r="B11" t="str">
        <v>English</v>
      </c>
      <c r="C11" t="str">
        <v>OZ</v>
      </c>
      <c r="D11" t="str">
        <v>AUSTRALIA</v>
      </c>
      <c r="E11" t="s">
        <v>238</v>
      </c>
    </row>
    <row r="12" spans="1:13" ht="15.75" customHeight="1" x14ac:dyDescent="0.25">
      <c r="B12" t="str">
        <v>German</v>
      </c>
      <c r="C12" t="str">
        <v>AU</v>
      </c>
      <c r="D12" t="str">
        <v>AUSTRIA</v>
      </c>
      <c r="E12" t="s">
        <v>240</v>
      </c>
    </row>
    <row r="13" spans="1:13" ht="15.75" customHeight="1" x14ac:dyDescent="0.25">
      <c r="B13" t="str">
        <v>French</v>
      </c>
      <c r="C13" t="str">
        <v>FR</v>
      </c>
      <c r="D13" t="str">
        <v>FRANCE</v>
      </c>
      <c r="E13" t="s">
        <v>241</v>
      </c>
    </row>
    <row r="14" spans="1:13" ht="15.75" customHeight="1" x14ac:dyDescent="0.25">
      <c r="B14" t="str">
        <v>Spanish</v>
      </c>
      <c r="C14" t="str">
        <v>AG</v>
      </c>
      <c r="D14" t="str">
        <v>ARGENTINA</v>
      </c>
      <c r="E14" t="s">
        <v>242</v>
      </c>
    </row>
    <row r="15" spans="1:13" ht="15.75" customHeight="1" x14ac:dyDescent="0.25">
      <c r="B15" t="str">
        <v>Spanish</v>
      </c>
      <c r="C15" t="str">
        <v>ES</v>
      </c>
      <c r="D15" t="str">
        <v>SPAIN</v>
      </c>
      <c r="E15" t="s">
        <v>242</v>
      </c>
    </row>
    <row r="16" spans="1:13" ht="15.75" customHeight="1" x14ac:dyDescent="0.25">
      <c r="B16" t="str">
        <v>Dutch</v>
      </c>
      <c r="C16" t="str">
        <v>DU</v>
      </c>
      <c r="D16" t="str">
        <v>NETHERLANDS</v>
      </c>
      <c r="E16" t="s">
        <v>243</v>
      </c>
    </row>
    <row r="17" spans="2:5" ht="15.75" customHeight="1" x14ac:dyDescent="0.25">
      <c r="B17" t="str">
        <v>Swedish</v>
      </c>
      <c r="C17" t="str">
        <v>SV</v>
      </c>
      <c r="D17" t="str">
        <v>SWEDEN</v>
      </c>
      <c r="E17" t="s">
        <v>244</v>
      </c>
    </row>
    <row r="18" spans="2:5" ht="15.75" customHeight="1" x14ac:dyDescent="0.25">
      <c r="B18" t="str">
        <v>Portuguese</v>
      </c>
      <c r="C18" t="str">
        <v>PR</v>
      </c>
      <c r="D18" t="str">
        <v>BRAZIL</v>
      </c>
      <c r="E18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3"/>
  <sheetViews>
    <sheetView zoomScale="98" workbookViewId="0">
      <selection activeCell="E19" sqref="E19"/>
    </sheetView>
  </sheetViews>
  <sheetFormatPr defaultColWidth="12.6328125" defaultRowHeight="15.75" customHeight="1" x14ac:dyDescent="0.25"/>
  <cols>
    <col min="1" max="1" width="13.7265625" customWidth="1"/>
    <col min="2" max="2" width="20.08984375" customWidth="1"/>
  </cols>
  <sheetData>
    <row r="1" spans="1:3" ht="13" x14ac:dyDescent="0.3">
      <c r="A1" s="6" t="s">
        <v>256</v>
      </c>
      <c r="B1" s="7" t="s">
        <v>15</v>
      </c>
      <c r="C1" s="6" t="s">
        <v>256</v>
      </c>
    </row>
    <row r="2" spans="1:3" ht="15.75" customHeight="1" x14ac:dyDescent="0.35">
      <c r="A2" s="8" t="s">
        <v>257</v>
      </c>
      <c r="B2" s="9" t="s">
        <v>24</v>
      </c>
      <c r="C2" s="8" t="s">
        <v>257</v>
      </c>
    </row>
    <row r="3" spans="1:3" ht="15.75" customHeight="1" x14ac:dyDescent="0.35">
      <c r="A3" s="8" t="s">
        <v>257</v>
      </c>
      <c r="B3" s="9" t="s">
        <v>30</v>
      </c>
      <c r="C3" s="8" t="s">
        <v>257</v>
      </c>
    </row>
    <row r="4" spans="1:3" ht="15.75" customHeight="1" x14ac:dyDescent="0.35">
      <c r="A4" s="8" t="s">
        <v>258</v>
      </c>
      <c r="B4" s="9" t="s">
        <v>38</v>
      </c>
      <c r="C4" s="8" t="s">
        <v>258</v>
      </c>
    </row>
    <row r="5" spans="1:3" ht="15.75" customHeight="1" x14ac:dyDescent="0.35">
      <c r="A5" s="8" t="s">
        <v>258</v>
      </c>
      <c r="B5" s="9" t="s">
        <v>43</v>
      </c>
      <c r="C5" s="8" t="s">
        <v>258</v>
      </c>
    </row>
    <row r="6" spans="1:3" ht="15.75" customHeight="1" x14ac:dyDescent="0.35">
      <c r="A6" s="8" t="s">
        <v>257</v>
      </c>
      <c r="B6" s="9" t="s">
        <v>49</v>
      </c>
      <c r="C6" s="8" t="s">
        <v>257</v>
      </c>
    </row>
    <row r="7" spans="1:3" ht="15.75" customHeight="1" x14ac:dyDescent="0.35">
      <c r="A7" s="8" t="s">
        <v>257</v>
      </c>
      <c r="B7" s="9" t="s">
        <v>55</v>
      </c>
      <c r="C7" s="8" t="s">
        <v>257</v>
      </c>
    </row>
    <row r="8" spans="1:3" ht="15.75" customHeight="1" x14ac:dyDescent="0.35">
      <c r="A8" s="8" t="s">
        <v>258</v>
      </c>
      <c r="B8" s="9" t="s">
        <v>60</v>
      </c>
      <c r="C8" s="8" t="s">
        <v>258</v>
      </c>
    </row>
    <row r="9" spans="1:3" ht="15.75" customHeight="1" x14ac:dyDescent="0.35">
      <c r="A9" s="8" t="s">
        <v>257</v>
      </c>
      <c r="B9" s="9" t="s">
        <v>65</v>
      </c>
      <c r="C9" s="8" t="s">
        <v>257</v>
      </c>
    </row>
    <row r="10" spans="1:3" ht="15.75" customHeight="1" x14ac:dyDescent="0.35">
      <c r="A10" s="8" t="s">
        <v>257</v>
      </c>
      <c r="B10" s="9" t="s">
        <v>70</v>
      </c>
      <c r="C10" s="8" t="s">
        <v>257</v>
      </c>
    </row>
    <row r="11" spans="1:3" ht="15.75" customHeight="1" x14ac:dyDescent="0.35">
      <c r="A11" s="8" t="s">
        <v>258</v>
      </c>
      <c r="B11" s="9" t="s">
        <v>80</v>
      </c>
      <c r="C11" s="8" t="s">
        <v>258</v>
      </c>
    </row>
    <row r="12" spans="1:3" ht="15.75" customHeight="1" x14ac:dyDescent="0.35">
      <c r="A12" s="8" t="s">
        <v>258</v>
      </c>
      <c r="B12" s="9" t="s">
        <v>85</v>
      </c>
      <c r="C12" s="8" t="s">
        <v>258</v>
      </c>
    </row>
    <row r="13" spans="1:3" ht="15.75" customHeight="1" x14ac:dyDescent="0.35">
      <c r="A13" s="8" t="s">
        <v>258</v>
      </c>
      <c r="B13" s="9" t="s">
        <v>89</v>
      </c>
      <c r="C13" s="8" t="s">
        <v>258</v>
      </c>
    </row>
    <row r="14" spans="1:3" ht="15.75" customHeight="1" x14ac:dyDescent="0.35">
      <c r="A14" s="8" t="s">
        <v>258</v>
      </c>
      <c r="B14" s="9" t="s">
        <v>95</v>
      </c>
      <c r="C14" s="8" t="s">
        <v>258</v>
      </c>
    </row>
    <row r="15" spans="1:3" ht="15.75" customHeight="1" x14ac:dyDescent="0.35">
      <c r="A15" s="8" t="s">
        <v>257</v>
      </c>
      <c r="B15" s="9" t="s">
        <v>101</v>
      </c>
      <c r="C15" s="8" t="s">
        <v>257</v>
      </c>
    </row>
    <row r="16" spans="1:3" ht="15.75" customHeight="1" x14ac:dyDescent="0.35">
      <c r="A16" s="8" t="s">
        <v>257</v>
      </c>
      <c r="B16" s="9" t="s">
        <v>108</v>
      </c>
      <c r="C16" s="8" t="s">
        <v>257</v>
      </c>
    </row>
    <row r="17" spans="1:3" ht="15.75" customHeight="1" x14ac:dyDescent="0.35">
      <c r="A17" s="8" t="s">
        <v>258</v>
      </c>
      <c r="B17" s="9" t="s">
        <v>112</v>
      </c>
      <c r="C17" s="8" t="s">
        <v>258</v>
      </c>
    </row>
    <row r="18" spans="1:3" ht="15.75" customHeight="1" x14ac:dyDescent="0.35">
      <c r="A18" s="8" t="s">
        <v>257</v>
      </c>
      <c r="B18" s="9" t="s">
        <v>117</v>
      </c>
      <c r="C18" s="8" t="s">
        <v>257</v>
      </c>
    </row>
    <row r="19" spans="1:3" ht="15.75" customHeight="1" x14ac:dyDescent="0.35">
      <c r="A19" s="8" t="s">
        <v>257</v>
      </c>
      <c r="B19" s="9" t="s">
        <v>122</v>
      </c>
      <c r="C19" s="8" t="s">
        <v>257</v>
      </c>
    </row>
    <row r="20" spans="1:3" ht="15.75" customHeight="1" x14ac:dyDescent="0.35">
      <c r="A20" s="8" t="s">
        <v>258</v>
      </c>
      <c r="B20" s="9" t="s">
        <v>126</v>
      </c>
      <c r="C20" s="8" t="s">
        <v>258</v>
      </c>
    </row>
    <row r="21" spans="1:3" ht="15.75" customHeight="1" x14ac:dyDescent="0.35">
      <c r="A21" s="8" t="s">
        <v>258</v>
      </c>
      <c r="B21" s="9" t="s">
        <v>131</v>
      </c>
      <c r="C21" s="8" t="s">
        <v>258</v>
      </c>
    </row>
    <row r="22" spans="1:3" ht="15.75" customHeight="1" x14ac:dyDescent="0.35">
      <c r="A22" s="8" t="s">
        <v>258</v>
      </c>
      <c r="B22" s="9" t="s">
        <v>135</v>
      </c>
      <c r="C22" s="8" t="s">
        <v>258</v>
      </c>
    </row>
    <row r="23" spans="1:3" ht="15.75" customHeight="1" x14ac:dyDescent="0.35">
      <c r="A23" s="8" t="s">
        <v>258</v>
      </c>
      <c r="B23" s="9" t="s">
        <v>139</v>
      </c>
      <c r="C23" s="8" t="s">
        <v>258</v>
      </c>
    </row>
    <row r="24" spans="1:3" ht="14.5" x14ac:dyDescent="0.35">
      <c r="A24" s="8" t="s">
        <v>257</v>
      </c>
      <c r="B24" s="9" t="s">
        <v>151</v>
      </c>
      <c r="C24" s="8" t="s">
        <v>257</v>
      </c>
    </row>
    <row r="25" spans="1:3" ht="14.5" x14ac:dyDescent="0.35">
      <c r="A25" s="8" t="s">
        <v>258</v>
      </c>
      <c r="B25" s="9" t="s">
        <v>162</v>
      </c>
      <c r="C25" s="8" t="s">
        <v>258</v>
      </c>
    </row>
    <row r="26" spans="1:3" ht="14.5" x14ac:dyDescent="0.35">
      <c r="A26" s="8" t="s">
        <v>257</v>
      </c>
      <c r="B26" s="9" t="s">
        <v>172</v>
      </c>
      <c r="C26" s="8" t="s">
        <v>257</v>
      </c>
    </row>
    <row r="27" spans="1:3" ht="14.5" x14ac:dyDescent="0.35">
      <c r="A27" s="8" t="s">
        <v>258</v>
      </c>
      <c r="B27" s="9" t="s">
        <v>178</v>
      </c>
      <c r="C27" s="8" t="s">
        <v>258</v>
      </c>
    </row>
    <row r="28" spans="1:3" ht="14.5" x14ac:dyDescent="0.35">
      <c r="A28" s="8" t="s">
        <v>258</v>
      </c>
      <c r="B28" s="9" t="s">
        <v>185</v>
      </c>
      <c r="C28" s="8" t="s">
        <v>258</v>
      </c>
    </row>
    <row r="29" spans="1:3" ht="14.5" x14ac:dyDescent="0.35">
      <c r="A29" s="8" t="s">
        <v>258</v>
      </c>
      <c r="B29" s="9" t="s">
        <v>201</v>
      </c>
      <c r="C29" s="8" t="s">
        <v>258</v>
      </c>
    </row>
    <row r="30" spans="1:3" ht="14.5" x14ac:dyDescent="0.35">
      <c r="A30" s="8" t="s">
        <v>257</v>
      </c>
      <c r="B30" s="9" t="s">
        <v>206</v>
      </c>
      <c r="C30" s="8" t="s">
        <v>257</v>
      </c>
    </row>
    <row r="31" spans="1:3" ht="14.5" x14ac:dyDescent="0.35">
      <c r="A31" s="8" t="s">
        <v>257</v>
      </c>
      <c r="B31" s="9" t="s">
        <v>216</v>
      </c>
      <c r="C31" s="8" t="s">
        <v>257</v>
      </c>
    </row>
    <row r="32" spans="1:3" ht="14.5" x14ac:dyDescent="0.35">
      <c r="A32" s="8" t="s">
        <v>258</v>
      </c>
      <c r="B32" s="9" t="s">
        <v>230</v>
      </c>
      <c r="C32" s="8" t="s">
        <v>258</v>
      </c>
    </row>
    <row r="33" spans="1:3" ht="14.5" x14ac:dyDescent="0.35">
      <c r="A33" s="8" t="s">
        <v>257</v>
      </c>
      <c r="B33" s="9" t="s">
        <v>236</v>
      </c>
      <c r="C33" s="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24F8-6746-4001-82A9-D0452BC6B9FB}">
  <dimension ref="A1:R51"/>
  <sheetViews>
    <sheetView topLeftCell="K1" workbookViewId="0">
      <selection activeCell="G12" sqref="G12"/>
    </sheetView>
  </sheetViews>
  <sheetFormatPr defaultRowHeight="12.5" x14ac:dyDescent="0.25"/>
  <cols>
    <col min="1" max="1" width="11.08984375" bestFit="1" customWidth="1"/>
    <col min="2" max="2" width="10.7265625" bestFit="1" customWidth="1"/>
    <col min="3" max="3" width="7.26953125" bestFit="1" customWidth="1"/>
    <col min="4" max="4" width="11.08984375" bestFit="1" customWidth="1"/>
    <col min="5" max="5" width="12.7265625" bestFit="1" customWidth="1"/>
    <col min="6" max="6" width="12.36328125" bestFit="1" customWidth="1"/>
    <col min="7" max="7" width="10.81640625" bestFit="1" customWidth="1"/>
    <col min="8" max="8" width="9.26953125" bestFit="1" customWidth="1"/>
    <col min="9" max="9" width="8.36328125" bestFit="1" customWidth="1"/>
    <col min="10" max="10" width="14.81640625" bestFit="1" customWidth="1"/>
    <col min="11" max="11" width="15.26953125" bestFit="1" customWidth="1"/>
    <col min="12" max="12" width="10.6328125" bestFit="1" customWidth="1"/>
    <col min="13" max="13" width="6.26953125" bestFit="1" customWidth="1"/>
    <col min="14" max="14" width="8" bestFit="1" customWidth="1"/>
    <col min="15" max="15" width="11.90625" bestFit="1" customWidth="1"/>
    <col min="16" max="16" width="16.81640625" bestFit="1" customWidth="1"/>
    <col min="17" max="17" width="22.6328125" bestFit="1" customWidth="1"/>
    <col min="18" max="18" width="7.90625" bestFit="1" customWidth="1"/>
  </cols>
  <sheetData>
    <row r="1" spans="1:18" ht="13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426</v>
      </c>
      <c r="P1" s="23" t="s">
        <v>14</v>
      </c>
      <c r="Q1" s="23" t="s">
        <v>15</v>
      </c>
      <c r="R1" s="23" t="s">
        <v>16</v>
      </c>
    </row>
    <row r="2" spans="1:18" x14ac:dyDescent="0.25">
      <c r="A2">
        <v>1</v>
      </c>
      <c r="C2" t="s">
        <v>17</v>
      </c>
      <c r="D2" t="s">
        <v>18</v>
      </c>
      <c r="F2" t="s">
        <v>19</v>
      </c>
      <c r="G2">
        <v>1997</v>
      </c>
      <c r="H2" t="s">
        <v>20</v>
      </c>
      <c r="I2" t="s">
        <v>21</v>
      </c>
      <c r="J2" t="s">
        <v>22</v>
      </c>
      <c r="N2">
        <v>94</v>
      </c>
      <c r="O2" t="s">
        <v>23</v>
      </c>
      <c r="Q2" t="s">
        <v>24</v>
      </c>
      <c r="R2" t="s">
        <v>25</v>
      </c>
    </row>
    <row r="3" spans="1:18" x14ac:dyDescent="0.25">
      <c r="A3">
        <v>2</v>
      </c>
      <c r="C3" t="s">
        <v>17</v>
      </c>
      <c r="D3" t="s">
        <v>26</v>
      </c>
      <c r="F3" t="s">
        <v>27</v>
      </c>
      <c r="G3">
        <v>1992</v>
      </c>
      <c r="H3" t="s">
        <v>28</v>
      </c>
      <c r="I3" t="s">
        <v>21</v>
      </c>
      <c r="J3" t="s">
        <v>22</v>
      </c>
      <c r="N3">
        <v>84</v>
      </c>
      <c r="O3" t="s">
        <v>29</v>
      </c>
      <c r="Q3" t="s">
        <v>30</v>
      </c>
      <c r="R3" t="s">
        <v>31</v>
      </c>
    </row>
    <row r="4" spans="1:18" x14ac:dyDescent="0.25">
      <c r="A4">
        <v>3</v>
      </c>
      <c r="C4" t="s">
        <v>427</v>
      </c>
      <c r="D4" t="s">
        <v>32</v>
      </c>
      <c r="E4" t="s">
        <v>33</v>
      </c>
      <c r="F4" t="s">
        <v>34</v>
      </c>
      <c r="G4">
        <v>1969</v>
      </c>
      <c r="H4" t="s">
        <v>35</v>
      </c>
      <c r="I4" t="s">
        <v>36</v>
      </c>
      <c r="J4" t="s">
        <v>37</v>
      </c>
      <c r="N4">
        <v>53</v>
      </c>
      <c r="O4" t="s">
        <v>23</v>
      </c>
      <c r="Q4" t="s">
        <v>38</v>
      </c>
      <c r="R4" t="s">
        <v>39</v>
      </c>
    </row>
    <row r="5" spans="1:18" x14ac:dyDescent="0.25">
      <c r="A5">
        <v>4</v>
      </c>
      <c r="C5" t="s">
        <v>17</v>
      </c>
      <c r="D5" t="s">
        <v>40</v>
      </c>
      <c r="F5" t="s">
        <v>41</v>
      </c>
      <c r="G5">
        <v>1975</v>
      </c>
      <c r="H5" t="s">
        <v>42</v>
      </c>
      <c r="I5" t="s">
        <v>21</v>
      </c>
      <c r="J5" t="s">
        <v>22</v>
      </c>
      <c r="N5">
        <v>49</v>
      </c>
      <c r="O5" t="s">
        <v>29</v>
      </c>
      <c r="Q5" t="s">
        <v>43</v>
      </c>
      <c r="R5" t="s">
        <v>44</v>
      </c>
    </row>
    <row r="6" spans="1:18" x14ac:dyDescent="0.25">
      <c r="A6">
        <v>5</v>
      </c>
      <c r="C6" t="s">
        <v>45</v>
      </c>
      <c r="D6" t="s">
        <v>46</v>
      </c>
      <c r="F6" t="s">
        <v>47</v>
      </c>
      <c r="G6">
        <v>1970</v>
      </c>
      <c r="H6" t="s">
        <v>42</v>
      </c>
      <c r="I6" t="s">
        <v>36</v>
      </c>
      <c r="J6" t="s">
        <v>22</v>
      </c>
      <c r="N6">
        <v>85</v>
      </c>
      <c r="O6" t="s">
        <v>48</v>
      </c>
      <c r="Q6" t="s">
        <v>49</v>
      </c>
      <c r="R6" t="s">
        <v>50</v>
      </c>
    </row>
    <row r="7" spans="1:18" x14ac:dyDescent="0.25">
      <c r="A7">
        <v>6</v>
      </c>
      <c r="C7" t="s">
        <v>51</v>
      </c>
      <c r="D7" t="s">
        <v>52</v>
      </c>
      <c r="F7" t="s">
        <v>53</v>
      </c>
      <c r="G7">
        <v>1992</v>
      </c>
      <c r="H7" t="s">
        <v>54</v>
      </c>
      <c r="I7" t="s">
        <v>36</v>
      </c>
      <c r="J7" t="s">
        <v>22</v>
      </c>
      <c r="N7">
        <v>83</v>
      </c>
      <c r="O7" t="s">
        <v>29</v>
      </c>
      <c r="Q7" t="s">
        <v>55</v>
      </c>
      <c r="R7" t="s">
        <v>56</v>
      </c>
    </row>
    <row r="8" spans="1:18" x14ac:dyDescent="0.25">
      <c r="A8">
        <v>7</v>
      </c>
      <c r="C8" t="s">
        <v>17</v>
      </c>
      <c r="D8" t="s">
        <v>57</v>
      </c>
      <c r="F8" t="s">
        <v>58</v>
      </c>
      <c r="G8">
        <v>1999</v>
      </c>
      <c r="H8" t="s">
        <v>59</v>
      </c>
      <c r="I8" t="s">
        <v>21</v>
      </c>
      <c r="J8" t="s">
        <v>22</v>
      </c>
      <c r="N8">
        <v>61</v>
      </c>
      <c r="O8" t="s">
        <v>48</v>
      </c>
      <c r="Q8" t="s">
        <v>60</v>
      </c>
      <c r="R8" t="s">
        <v>61</v>
      </c>
    </row>
    <row r="9" spans="1:18" ht="13" x14ac:dyDescent="0.3">
      <c r="A9">
        <v>8</v>
      </c>
      <c r="C9" t="s">
        <v>51</v>
      </c>
      <c r="D9" t="s">
        <v>62</v>
      </c>
      <c r="F9" t="s">
        <v>63</v>
      </c>
      <c r="G9">
        <v>1963</v>
      </c>
      <c r="H9" s="22" t="s">
        <v>42</v>
      </c>
      <c r="I9" t="s">
        <v>36</v>
      </c>
      <c r="J9" t="s">
        <v>22</v>
      </c>
      <c r="N9">
        <v>106</v>
      </c>
      <c r="O9" t="s">
        <v>64</v>
      </c>
      <c r="Q9" t="s">
        <v>65</v>
      </c>
      <c r="R9" t="s">
        <v>66</v>
      </c>
    </row>
    <row r="10" spans="1:18" x14ac:dyDescent="0.25">
      <c r="A10">
        <v>9</v>
      </c>
      <c r="C10" t="s">
        <v>17</v>
      </c>
      <c r="D10" t="s">
        <v>67</v>
      </c>
      <c r="F10" t="s">
        <v>68</v>
      </c>
      <c r="G10">
        <v>1971</v>
      </c>
      <c r="H10" t="s">
        <v>28</v>
      </c>
      <c r="I10" t="s">
        <v>21</v>
      </c>
      <c r="J10" t="s">
        <v>69</v>
      </c>
      <c r="N10">
        <v>65</v>
      </c>
      <c r="O10" t="s">
        <v>64</v>
      </c>
      <c r="Q10" t="s">
        <v>70</v>
      </c>
      <c r="R10" t="s">
        <v>71</v>
      </c>
    </row>
    <row r="11" spans="1:18" x14ac:dyDescent="0.25">
      <c r="A11">
        <v>10</v>
      </c>
      <c r="C11" t="s">
        <v>51</v>
      </c>
      <c r="D11" t="s">
        <v>72</v>
      </c>
      <c r="F11" t="s">
        <v>73</v>
      </c>
      <c r="G11">
        <v>1964</v>
      </c>
      <c r="H11" t="s">
        <v>54</v>
      </c>
      <c r="I11" t="s">
        <v>36</v>
      </c>
      <c r="J11" t="s">
        <v>69</v>
      </c>
      <c r="N11">
        <v>63</v>
      </c>
      <c r="O11" t="s">
        <v>74</v>
      </c>
      <c r="Q11" t="s">
        <v>60</v>
      </c>
      <c r="R11" t="s">
        <v>75</v>
      </c>
    </row>
    <row r="12" spans="1:18" x14ac:dyDescent="0.25">
      <c r="A12">
        <v>11</v>
      </c>
      <c r="C12" t="s">
        <v>76</v>
      </c>
      <c r="D12" t="s">
        <v>77</v>
      </c>
      <c r="F12" t="s">
        <v>78</v>
      </c>
      <c r="G12">
        <v>1986</v>
      </c>
      <c r="H12" t="s">
        <v>79</v>
      </c>
      <c r="I12" t="s">
        <v>36</v>
      </c>
      <c r="J12" t="s">
        <v>69</v>
      </c>
      <c r="N12">
        <v>104</v>
      </c>
      <c r="O12" t="s">
        <v>74</v>
      </c>
      <c r="Q12" t="s">
        <v>80</v>
      </c>
      <c r="R12" t="s">
        <v>81</v>
      </c>
    </row>
    <row r="13" spans="1:18" x14ac:dyDescent="0.25">
      <c r="A13">
        <v>12</v>
      </c>
      <c r="C13" t="s">
        <v>82</v>
      </c>
      <c r="D13" t="s">
        <v>83</v>
      </c>
      <c r="F13" t="s">
        <v>84</v>
      </c>
      <c r="G13">
        <v>1977</v>
      </c>
      <c r="H13" t="s">
        <v>20</v>
      </c>
      <c r="I13" t="s">
        <v>21</v>
      </c>
      <c r="J13" t="s">
        <v>69</v>
      </c>
      <c r="N13">
        <v>101</v>
      </c>
      <c r="O13" t="s">
        <v>74</v>
      </c>
      <c r="Q13" t="s">
        <v>85</v>
      </c>
      <c r="R13" t="s">
        <v>86</v>
      </c>
    </row>
    <row r="14" spans="1:18" x14ac:dyDescent="0.25">
      <c r="A14">
        <v>13</v>
      </c>
      <c r="C14" t="s">
        <v>17</v>
      </c>
      <c r="D14" t="s">
        <v>87</v>
      </c>
      <c r="F14" t="s">
        <v>88</v>
      </c>
      <c r="G14">
        <v>1977</v>
      </c>
      <c r="H14" t="s">
        <v>28</v>
      </c>
      <c r="I14" t="s">
        <v>21</v>
      </c>
      <c r="J14" t="s">
        <v>69</v>
      </c>
      <c r="N14">
        <v>71</v>
      </c>
      <c r="O14" t="s">
        <v>23</v>
      </c>
      <c r="Q14" t="s">
        <v>89</v>
      </c>
      <c r="R14" t="s">
        <v>90</v>
      </c>
    </row>
    <row r="15" spans="1:18" x14ac:dyDescent="0.25">
      <c r="A15">
        <v>14</v>
      </c>
      <c r="C15" t="s">
        <v>428</v>
      </c>
      <c r="D15" t="s">
        <v>91</v>
      </c>
      <c r="F15" t="s">
        <v>92</v>
      </c>
      <c r="G15">
        <v>1959</v>
      </c>
      <c r="H15" t="s">
        <v>93</v>
      </c>
      <c r="I15" t="s">
        <v>36</v>
      </c>
      <c r="J15" t="s">
        <v>94</v>
      </c>
      <c r="N15">
        <v>68</v>
      </c>
      <c r="O15" t="s">
        <v>64</v>
      </c>
      <c r="Q15" t="s">
        <v>95</v>
      </c>
      <c r="R15" t="s">
        <v>96</v>
      </c>
    </row>
    <row r="16" spans="1:18" x14ac:dyDescent="0.25">
      <c r="A16">
        <v>15</v>
      </c>
      <c r="C16" t="s">
        <v>97</v>
      </c>
      <c r="D16" t="s">
        <v>98</v>
      </c>
      <c r="F16" t="s">
        <v>99</v>
      </c>
      <c r="G16">
        <v>1965</v>
      </c>
      <c r="H16" t="s">
        <v>100</v>
      </c>
      <c r="I16" t="s">
        <v>21</v>
      </c>
      <c r="J16" t="s">
        <v>94</v>
      </c>
      <c r="N16">
        <v>105</v>
      </c>
      <c r="O16" t="s">
        <v>74</v>
      </c>
      <c r="Q16" t="s">
        <v>101</v>
      </c>
      <c r="R16" t="s">
        <v>102</v>
      </c>
    </row>
    <row r="17" spans="1:18" x14ac:dyDescent="0.25">
      <c r="A17">
        <v>16</v>
      </c>
      <c r="C17" t="s">
        <v>428</v>
      </c>
      <c r="D17" t="s">
        <v>103</v>
      </c>
      <c r="F17" t="s">
        <v>104</v>
      </c>
      <c r="G17">
        <v>1969</v>
      </c>
      <c r="H17" t="s">
        <v>35</v>
      </c>
      <c r="I17" t="s">
        <v>36</v>
      </c>
      <c r="J17" t="s">
        <v>94</v>
      </c>
      <c r="N17">
        <v>49</v>
      </c>
      <c r="O17" t="s">
        <v>74</v>
      </c>
      <c r="Q17" t="s">
        <v>43</v>
      </c>
      <c r="R17" t="s">
        <v>105</v>
      </c>
    </row>
    <row r="18" spans="1:18" x14ac:dyDescent="0.25">
      <c r="A18">
        <v>17</v>
      </c>
      <c r="C18" t="s">
        <v>428</v>
      </c>
      <c r="D18" t="s">
        <v>106</v>
      </c>
      <c r="F18" t="s">
        <v>107</v>
      </c>
      <c r="G18">
        <v>1972</v>
      </c>
      <c r="H18" t="s">
        <v>20</v>
      </c>
      <c r="I18" t="s">
        <v>36</v>
      </c>
      <c r="J18" t="s">
        <v>94</v>
      </c>
      <c r="N18">
        <v>106</v>
      </c>
      <c r="O18" t="s">
        <v>23</v>
      </c>
      <c r="Q18" t="s">
        <v>108</v>
      </c>
      <c r="R18" t="s">
        <v>109</v>
      </c>
    </row>
    <row r="19" spans="1:18" x14ac:dyDescent="0.25">
      <c r="A19">
        <v>18</v>
      </c>
      <c r="C19" t="s">
        <v>428</v>
      </c>
      <c r="D19" t="s">
        <v>110</v>
      </c>
      <c r="F19" t="s">
        <v>111</v>
      </c>
      <c r="G19">
        <v>1959</v>
      </c>
      <c r="H19" t="s">
        <v>93</v>
      </c>
      <c r="I19" t="s">
        <v>36</v>
      </c>
      <c r="J19" t="s">
        <v>94</v>
      </c>
      <c r="N19">
        <v>71</v>
      </c>
      <c r="O19" t="s">
        <v>23</v>
      </c>
      <c r="Q19" t="s">
        <v>112</v>
      </c>
      <c r="R19" t="s">
        <v>113</v>
      </c>
    </row>
    <row r="20" spans="1:18" x14ac:dyDescent="0.25">
      <c r="A20">
        <v>19</v>
      </c>
      <c r="C20" t="s">
        <v>45</v>
      </c>
      <c r="D20" t="s">
        <v>114</v>
      </c>
      <c r="F20" t="s">
        <v>115</v>
      </c>
      <c r="G20">
        <v>1977</v>
      </c>
      <c r="H20" t="s">
        <v>42</v>
      </c>
      <c r="I20" t="s">
        <v>21</v>
      </c>
      <c r="J20" t="s">
        <v>116</v>
      </c>
      <c r="N20">
        <v>70</v>
      </c>
      <c r="O20" t="s">
        <v>64</v>
      </c>
      <c r="Q20" t="s">
        <v>117</v>
      </c>
      <c r="R20" t="s">
        <v>118</v>
      </c>
    </row>
    <row r="21" spans="1:18" x14ac:dyDescent="0.25">
      <c r="A21">
        <v>20</v>
      </c>
      <c r="C21" t="s">
        <v>51</v>
      </c>
      <c r="D21" t="s">
        <v>119</v>
      </c>
      <c r="F21" t="s">
        <v>120</v>
      </c>
      <c r="G21">
        <v>1976</v>
      </c>
      <c r="H21" t="s">
        <v>121</v>
      </c>
      <c r="I21" t="s">
        <v>36</v>
      </c>
      <c r="J21" t="s">
        <v>116</v>
      </c>
      <c r="N21">
        <v>55</v>
      </c>
      <c r="O21" t="s">
        <v>29</v>
      </c>
      <c r="Q21" t="s">
        <v>122</v>
      </c>
      <c r="R21" t="s">
        <v>123</v>
      </c>
    </row>
    <row r="22" spans="1:18" x14ac:dyDescent="0.25">
      <c r="A22">
        <v>21</v>
      </c>
      <c r="C22" t="s">
        <v>51</v>
      </c>
      <c r="D22" t="s">
        <v>124</v>
      </c>
      <c r="F22" t="s">
        <v>125</v>
      </c>
      <c r="G22">
        <v>1996</v>
      </c>
      <c r="H22" t="s">
        <v>35</v>
      </c>
      <c r="I22" t="s">
        <v>36</v>
      </c>
      <c r="J22" t="s">
        <v>116</v>
      </c>
      <c r="N22">
        <v>101</v>
      </c>
      <c r="O22" t="s">
        <v>48</v>
      </c>
      <c r="Q22" t="s">
        <v>126</v>
      </c>
      <c r="R22" t="s">
        <v>127</v>
      </c>
    </row>
    <row r="23" spans="1:18" x14ac:dyDescent="0.25">
      <c r="A23">
        <v>22</v>
      </c>
      <c r="C23" t="s">
        <v>45</v>
      </c>
      <c r="D23" t="s">
        <v>128</v>
      </c>
      <c r="F23" t="s">
        <v>129</v>
      </c>
      <c r="G23">
        <v>1964</v>
      </c>
      <c r="H23" t="s">
        <v>130</v>
      </c>
      <c r="I23" t="s">
        <v>21</v>
      </c>
      <c r="J23" t="s">
        <v>116</v>
      </c>
      <c r="N23">
        <v>84</v>
      </c>
      <c r="O23" t="s">
        <v>64</v>
      </c>
      <c r="Q23" t="s">
        <v>131</v>
      </c>
      <c r="R23" t="s">
        <v>132</v>
      </c>
    </row>
    <row r="24" spans="1:18" x14ac:dyDescent="0.25">
      <c r="A24">
        <v>23</v>
      </c>
      <c r="C24" t="s">
        <v>45</v>
      </c>
      <c r="D24" t="s">
        <v>133</v>
      </c>
      <c r="F24" t="s">
        <v>134</v>
      </c>
      <c r="G24">
        <v>1955</v>
      </c>
      <c r="H24" t="s">
        <v>54</v>
      </c>
      <c r="I24" t="s">
        <v>21</v>
      </c>
      <c r="J24" t="s">
        <v>116</v>
      </c>
      <c r="N24">
        <v>67</v>
      </c>
      <c r="O24" t="s">
        <v>74</v>
      </c>
      <c r="Q24" t="s">
        <v>135</v>
      </c>
      <c r="R24" t="s">
        <v>136</v>
      </c>
    </row>
    <row r="25" spans="1:18" x14ac:dyDescent="0.25">
      <c r="A25">
        <v>24</v>
      </c>
      <c r="C25" t="s">
        <v>45</v>
      </c>
      <c r="D25" t="s">
        <v>137</v>
      </c>
      <c r="F25" t="s">
        <v>138</v>
      </c>
      <c r="G25">
        <v>1999</v>
      </c>
      <c r="H25" t="s">
        <v>93</v>
      </c>
      <c r="I25" t="s">
        <v>21</v>
      </c>
      <c r="J25" t="s">
        <v>116</v>
      </c>
      <c r="N25">
        <v>59</v>
      </c>
      <c r="O25" t="s">
        <v>48</v>
      </c>
      <c r="Q25" t="s">
        <v>139</v>
      </c>
      <c r="R25" t="s">
        <v>140</v>
      </c>
    </row>
    <row r="26" spans="1:18" x14ac:dyDescent="0.25">
      <c r="A26">
        <v>25</v>
      </c>
      <c r="C26" t="s">
        <v>45</v>
      </c>
      <c r="D26" t="s">
        <v>141</v>
      </c>
      <c r="F26" t="s">
        <v>142</v>
      </c>
      <c r="G26">
        <v>1966</v>
      </c>
      <c r="H26" t="s">
        <v>35</v>
      </c>
      <c r="I26" t="s">
        <v>21</v>
      </c>
      <c r="J26" t="s">
        <v>116</v>
      </c>
      <c r="N26">
        <v>78</v>
      </c>
      <c r="O26" t="s">
        <v>64</v>
      </c>
      <c r="Q26" t="s">
        <v>60</v>
      </c>
      <c r="R26" t="s">
        <v>143</v>
      </c>
    </row>
    <row r="27" spans="1:18" x14ac:dyDescent="0.25">
      <c r="A27">
        <v>26</v>
      </c>
      <c r="C27" t="s">
        <v>17</v>
      </c>
      <c r="D27" t="s">
        <v>144</v>
      </c>
      <c r="F27" t="s">
        <v>145</v>
      </c>
      <c r="G27">
        <v>1978</v>
      </c>
      <c r="H27" t="s">
        <v>130</v>
      </c>
      <c r="I27" t="s">
        <v>21</v>
      </c>
      <c r="J27" t="s">
        <v>116</v>
      </c>
      <c r="N27">
        <v>86</v>
      </c>
      <c r="O27" t="s">
        <v>146</v>
      </c>
      <c r="Q27" t="s">
        <v>24</v>
      </c>
      <c r="R27" t="s">
        <v>147</v>
      </c>
    </row>
    <row r="28" spans="1:18" x14ac:dyDescent="0.25">
      <c r="A28">
        <v>27</v>
      </c>
      <c r="C28" t="s">
        <v>428</v>
      </c>
      <c r="D28" t="s">
        <v>148</v>
      </c>
      <c r="F28" t="s">
        <v>149</v>
      </c>
      <c r="G28">
        <v>1970</v>
      </c>
      <c r="H28" t="s">
        <v>35</v>
      </c>
      <c r="I28" t="s">
        <v>36</v>
      </c>
      <c r="J28" t="s">
        <v>150</v>
      </c>
      <c r="N28">
        <v>93</v>
      </c>
      <c r="O28" t="s">
        <v>146</v>
      </c>
      <c r="Q28" t="s">
        <v>151</v>
      </c>
      <c r="R28" t="s">
        <v>152</v>
      </c>
    </row>
    <row r="29" spans="1:18" x14ac:dyDescent="0.25">
      <c r="A29">
        <v>28</v>
      </c>
      <c r="C29" t="s">
        <v>428</v>
      </c>
      <c r="D29" t="s">
        <v>153</v>
      </c>
      <c r="F29" t="s">
        <v>154</v>
      </c>
      <c r="G29">
        <v>1982</v>
      </c>
      <c r="H29" t="s">
        <v>100</v>
      </c>
      <c r="I29" t="s">
        <v>36</v>
      </c>
      <c r="J29" t="s">
        <v>150</v>
      </c>
      <c r="N29">
        <v>96</v>
      </c>
      <c r="O29" t="s">
        <v>29</v>
      </c>
      <c r="Q29" t="s">
        <v>89</v>
      </c>
      <c r="R29" t="s">
        <v>155</v>
      </c>
    </row>
    <row r="30" spans="1:18" x14ac:dyDescent="0.25">
      <c r="A30">
        <v>29</v>
      </c>
      <c r="C30" t="s">
        <v>97</v>
      </c>
      <c r="D30" t="s">
        <v>156</v>
      </c>
      <c r="F30" t="s">
        <v>157</v>
      </c>
      <c r="G30">
        <v>1994</v>
      </c>
      <c r="H30" t="s">
        <v>28</v>
      </c>
      <c r="I30" t="s">
        <v>21</v>
      </c>
      <c r="J30" t="s">
        <v>150</v>
      </c>
      <c r="N30">
        <v>52</v>
      </c>
      <c r="O30" t="s">
        <v>74</v>
      </c>
      <c r="Q30" t="s">
        <v>60</v>
      </c>
      <c r="R30" t="s">
        <v>158</v>
      </c>
    </row>
    <row r="31" spans="1:18" x14ac:dyDescent="0.25">
      <c r="A31">
        <v>30</v>
      </c>
      <c r="C31" t="s">
        <v>429</v>
      </c>
      <c r="D31" t="s">
        <v>159</v>
      </c>
      <c r="F31" t="s">
        <v>160</v>
      </c>
      <c r="G31">
        <v>1979</v>
      </c>
      <c r="H31" t="s">
        <v>20</v>
      </c>
      <c r="I31" t="s">
        <v>21</v>
      </c>
      <c r="J31" t="s">
        <v>161</v>
      </c>
      <c r="N31">
        <v>75</v>
      </c>
      <c r="O31" t="s">
        <v>146</v>
      </c>
      <c r="Q31" t="s">
        <v>162</v>
      </c>
      <c r="R31" t="s">
        <v>163</v>
      </c>
    </row>
    <row r="32" spans="1:18" x14ac:dyDescent="0.25">
      <c r="A32">
        <v>31</v>
      </c>
      <c r="C32" t="s">
        <v>429</v>
      </c>
      <c r="D32" t="s">
        <v>164</v>
      </c>
      <c r="F32" t="s">
        <v>165</v>
      </c>
      <c r="G32">
        <v>1989</v>
      </c>
      <c r="H32" t="s">
        <v>121</v>
      </c>
      <c r="I32" t="s">
        <v>21</v>
      </c>
      <c r="J32" t="s">
        <v>161</v>
      </c>
      <c r="N32">
        <v>82</v>
      </c>
      <c r="O32" t="s">
        <v>29</v>
      </c>
      <c r="Q32" t="s">
        <v>151</v>
      </c>
      <c r="R32" t="s">
        <v>166</v>
      </c>
    </row>
    <row r="33" spans="1:18" x14ac:dyDescent="0.25">
      <c r="A33">
        <v>32</v>
      </c>
      <c r="C33" t="s">
        <v>429</v>
      </c>
      <c r="D33" t="s">
        <v>167</v>
      </c>
      <c r="F33" t="s">
        <v>168</v>
      </c>
      <c r="G33">
        <v>1970</v>
      </c>
      <c r="H33" t="s">
        <v>121</v>
      </c>
      <c r="I33" t="s">
        <v>21</v>
      </c>
      <c r="J33" t="s">
        <v>161</v>
      </c>
      <c r="N33">
        <v>78</v>
      </c>
      <c r="O33" t="s">
        <v>74</v>
      </c>
      <c r="Q33" t="s">
        <v>135</v>
      </c>
      <c r="R33" t="s">
        <v>169</v>
      </c>
    </row>
    <row r="34" spans="1:18" x14ac:dyDescent="0.25">
      <c r="A34">
        <v>33</v>
      </c>
      <c r="C34" t="s">
        <v>430</v>
      </c>
      <c r="D34" t="s">
        <v>170</v>
      </c>
      <c r="F34" t="s">
        <v>171</v>
      </c>
      <c r="G34">
        <v>1980</v>
      </c>
      <c r="H34" t="s">
        <v>79</v>
      </c>
      <c r="I34" t="s">
        <v>36</v>
      </c>
      <c r="J34" t="s">
        <v>161</v>
      </c>
      <c r="N34">
        <v>57</v>
      </c>
      <c r="O34" t="s">
        <v>74</v>
      </c>
      <c r="Q34" t="s">
        <v>172</v>
      </c>
      <c r="R34" t="s">
        <v>173</v>
      </c>
    </row>
    <row r="35" spans="1:18" x14ac:dyDescent="0.25">
      <c r="A35">
        <v>34</v>
      </c>
      <c r="C35" t="s">
        <v>430</v>
      </c>
      <c r="D35" t="s">
        <v>174</v>
      </c>
      <c r="F35" t="s">
        <v>175</v>
      </c>
      <c r="G35">
        <v>1981</v>
      </c>
      <c r="H35" t="s">
        <v>20</v>
      </c>
      <c r="I35" t="s">
        <v>36</v>
      </c>
      <c r="J35" t="s">
        <v>161</v>
      </c>
      <c r="N35">
        <v>56</v>
      </c>
      <c r="O35" t="s">
        <v>146</v>
      </c>
      <c r="Q35" t="s">
        <v>126</v>
      </c>
      <c r="R35" t="s">
        <v>176</v>
      </c>
    </row>
    <row r="36" spans="1:18" x14ac:dyDescent="0.25">
      <c r="A36">
        <v>35</v>
      </c>
      <c r="C36" t="s">
        <v>430</v>
      </c>
      <c r="D36" t="s">
        <v>177</v>
      </c>
      <c r="F36" t="s">
        <v>175</v>
      </c>
      <c r="G36">
        <v>1955</v>
      </c>
      <c r="H36" t="s">
        <v>59</v>
      </c>
      <c r="I36" t="s">
        <v>36</v>
      </c>
      <c r="J36" t="s">
        <v>161</v>
      </c>
      <c r="N36">
        <v>89</v>
      </c>
      <c r="O36" t="s">
        <v>74</v>
      </c>
      <c r="Q36" t="s">
        <v>178</v>
      </c>
      <c r="R36" t="s">
        <v>179</v>
      </c>
    </row>
    <row r="37" spans="1:18" x14ac:dyDescent="0.25">
      <c r="A37">
        <v>36</v>
      </c>
      <c r="C37" t="s">
        <v>430</v>
      </c>
      <c r="D37" t="s">
        <v>180</v>
      </c>
      <c r="F37" t="s">
        <v>181</v>
      </c>
      <c r="G37">
        <v>1975</v>
      </c>
      <c r="H37" t="s">
        <v>28</v>
      </c>
      <c r="I37" t="s">
        <v>36</v>
      </c>
      <c r="J37" t="s">
        <v>161</v>
      </c>
      <c r="N37">
        <v>78</v>
      </c>
      <c r="O37" t="s">
        <v>29</v>
      </c>
      <c r="Q37" t="s">
        <v>126</v>
      </c>
      <c r="R37" t="s">
        <v>182</v>
      </c>
    </row>
    <row r="38" spans="1:18" x14ac:dyDescent="0.25">
      <c r="A38">
        <v>37</v>
      </c>
      <c r="C38" t="s">
        <v>430</v>
      </c>
      <c r="D38" t="s">
        <v>183</v>
      </c>
      <c r="F38" t="s">
        <v>184</v>
      </c>
      <c r="G38">
        <v>1986</v>
      </c>
      <c r="H38" t="s">
        <v>35</v>
      </c>
      <c r="I38" t="s">
        <v>36</v>
      </c>
      <c r="J38" t="s">
        <v>161</v>
      </c>
      <c r="N38">
        <v>96</v>
      </c>
      <c r="O38" t="s">
        <v>48</v>
      </c>
      <c r="Q38" t="s">
        <v>185</v>
      </c>
      <c r="R38" t="s">
        <v>186</v>
      </c>
    </row>
    <row r="39" spans="1:18" x14ac:dyDescent="0.25">
      <c r="A39">
        <v>38</v>
      </c>
      <c r="C39" t="s">
        <v>430</v>
      </c>
      <c r="D39" t="s">
        <v>187</v>
      </c>
      <c r="F39" t="s">
        <v>188</v>
      </c>
      <c r="G39">
        <v>1983</v>
      </c>
      <c r="H39" t="s">
        <v>121</v>
      </c>
      <c r="I39" t="s">
        <v>36</v>
      </c>
      <c r="J39" t="s">
        <v>161</v>
      </c>
      <c r="N39">
        <v>60</v>
      </c>
      <c r="O39" t="s">
        <v>29</v>
      </c>
      <c r="Q39" t="s">
        <v>24</v>
      </c>
      <c r="R39" t="s">
        <v>189</v>
      </c>
    </row>
    <row r="40" spans="1:18" x14ac:dyDescent="0.25">
      <c r="A40">
        <v>39</v>
      </c>
      <c r="C40" t="s">
        <v>427</v>
      </c>
      <c r="D40" t="s">
        <v>190</v>
      </c>
      <c r="E40" t="s">
        <v>191</v>
      </c>
      <c r="F40" t="s">
        <v>192</v>
      </c>
      <c r="G40">
        <v>1984</v>
      </c>
      <c r="H40" t="s">
        <v>54</v>
      </c>
      <c r="I40" t="s">
        <v>36</v>
      </c>
      <c r="J40" t="s">
        <v>193</v>
      </c>
      <c r="N40">
        <v>78</v>
      </c>
      <c r="O40" t="s">
        <v>48</v>
      </c>
      <c r="Q40" t="s">
        <v>139</v>
      </c>
      <c r="R40" t="s">
        <v>194</v>
      </c>
    </row>
    <row r="41" spans="1:18" x14ac:dyDescent="0.25">
      <c r="A41">
        <v>40</v>
      </c>
      <c r="C41" t="s">
        <v>427</v>
      </c>
      <c r="D41" t="s">
        <v>195</v>
      </c>
      <c r="F41" t="s">
        <v>196</v>
      </c>
      <c r="G41">
        <v>1988</v>
      </c>
      <c r="H41" t="s">
        <v>197</v>
      </c>
      <c r="I41" t="s">
        <v>36</v>
      </c>
      <c r="J41" t="s">
        <v>193</v>
      </c>
      <c r="N41">
        <v>98</v>
      </c>
      <c r="O41" t="s">
        <v>23</v>
      </c>
      <c r="Q41" t="s">
        <v>135</v>
      </c>
      <c r="R41" t="s">
        <v>198</v>
      </c>
    </row>
    <row r="42" spans="1:18" x14ac:dyDescent="0.25">
      <c r="A42">
        <v>41</v>
      </c>
      <c r="C42" t="s">
        <v>431</v>
      </c>
      <c r="D42" t="s">
        <v>199</v>
      </c>
      <c r="F42" t="s">
        <v>200</v>
      </c>
      <c r="G42">
        <v>1974</v>
      </c>
      <c r="H42" t="s">
        <v>28</v>
      </c>
      <c r="I42" t="s">
        <v>21</v>
      </c>
      <c r="J42" t="s">
        <v>193</v>
      </c>
      <c r="N42">
        <v>52</v>
      </c>
      <c r="O42" t="s">
        <v>29</v>
      </c>
      <c r="Q42" t="s">
        <v>201</v>
      </c>
      <c r="R42" t="s">
        <v>202</v>
      </c>
    </row>
    <row r="43" spans="1:18" x14ac:dyDescent="0.25">
      <c r="A43">
        <v>42</v>
      </c>
      <c r="C43" t="s">
        <v>431</v>
      </c>
      <c r="D43" t="s">
        <v>203</v>
      </c>
      <c r="F43" t="s">
        <v>204</v>
      </c>
      <c r="G43">
        <v>1990</v>
      </c>
      <c r="H43" t="s">
        <v>100</v>
      </c>
      <c r="I43" t="s">
        <v>21</v>
      </c>
      <c r="J43" t="s">
        <v>205</v>
      </c>
      <c r="N43">
        <v>56</v>
      </c>
      <c r="O43" t="s">
        <v>74</v>
      </c>
      <c r="Q43" t="s">
        <v>206</v>
      </c>
      <c r="R43" t="s">
        <v>207</v>
      </c>
    </row>
    <row r="44" spans="1:18" x14ac:dyDescent="0.25">
      <c r="A44">
        <v>43</v>
      </c>
      <c r="C44" t="s">
        <v>431</v>
      </c>
      <c r="D44" t="s">
        <v>144</v>
      </c>
      <c r="F44" t="s">
        <v>208</v>
      </c>
      <c r="G44">
        <v>1960</v>
      </c>
      <c r="H44" t="s">
        <v>121</v>
      </c>
      <c r="I44" t="s">
        <v>21</v>
      </c>
      <c r="J44" t="s">
        <v>205</v>
      </c>
      <c r="N44">
        <v>102</v>
      </c>
      <c r="O44" t="s">
        <v>74</v>
      </c>
      <c r="Q44" t="s">
        <v>139</v>
      </c>
      <c r="R44" t="s">
        <v>209</v>
      </c>
    </row>
    <row r="45" spans="1:18" x14ac:dyDescent="0.25">
      <c r="A45">
        <v>44</v>
      </c>
      <c r="C45" t="s">
        <v>431</v>
      </c>
      <c r="D45" t="s">
        <v>210</v>
      </c>
      <c r="F45" t="s">
        <v>211</v>
      </c>
      <c r="G45">
        <v>1965</v>
      </c>
      <c r="H45" t="s">
        <v>59</v>
      </c>
      <c r="I45" t="s">
        <v>21</v>
      </c>
      <c r="J45" t="s">
        <v>205</v>
      </c>
      <c r="N45">
        <v>59</v>
      </c>
      <c r="O45" t="s">
        <v>29</v>
      </c>
      <c r="Q45" t="s">
        <v>201</v>
      </c>
      <c r="R45" t="s">
        <v>212</v>
      </c>
    </row>
    <row r="46" spans="1:18" x14ac:dyDescent="0.25">
      <c r="A46">
        <v>45</v>
      </c>
      <c r="C46" t="s">
        <v>432</v>
      </c>
      <c r="D46" t="s">
        <v>213</v>
      </c>
      <c r="F46" t="s">
        <v>214</v>
      </c>
      <c r="G46">
        <v>1960</v>
      </c>
      <c r="H46" t="s">
        <v>42</v>
      </c>
      <c r="I46" t="s">
        <v>21</v>
      </c>
      <c r="J46" t="s">
        <v>215</v>
      </c>
      <c r="N46">
        <v>64</v>
      </c>
      <c r="O46" t="s">
        <v>74</v>
      </c>
      <c r="Q46" t="s">
        <v>216</v>
      </c>
      <c r="R46" t="s">
        <v>217</v>
      </c>
    </row>
    <row r="47" spans="1:18" x14ac:dyDescent="0.25">
      <c r="A47">
        <v>46</v>
      </c>
      <c r="C47" t="s">
        <v>433</v>
      </c>
      <c r="D47" t="s">
        <v>218</v>
      </c>
      <c r="F47" t="s">
        <v>219</v>
      </c>
      <c r="G47">
        <v>1973</v>
      </c>
      <c r="H47" t="s">
        <v>20</v>
      </c>
      <c r="I47" t="s">
        <v>36</v>
      </c>
      <c r="J47" t="s">
        <v>215</v>
      </c>
      <c r="N47">
        <v>99</v>
      </c>
      <c r="O47" t="s">
        <v>146</v>
      </c>
      <c r="Q47" t="s">
        <v>135</v>
      </c>
      <c r="R47" t="s">
        <v>220</v>
      </c>
    </row>
    <row r="48" spans="1:18" x14ac:dyDescent="0.25">
      <c r="A48">
        <v>47</v>
      </c>
      <c r="C48" t="s">
        <v>434</v>
      </c>
      <c r="D48" t="s">
        <v>221</v>
      </c>
      <c r="F48" t="s">
        <v>222</v>
      </c>
      <c r="G48">
        <v>1968</v>
      </c>
      <c r="H48" t="s">
        <v>130</v>
      </c>
      <c r="I48" t="s">
        <v>21</v>
      </c>
      <c r="J48" t="s">
        <v>215</v>
      </c>
      <c r="N48">
        <v>62</v>
      </c>
      <c r="O48" t="s">
        <v>29</v>
      </c>
      <c r="Q48" t="s">
        <v>135</v>
      </c>
      <c r="R48" t="s">
        <v>223</v>
      </c>
    </row>
    <row r="49" spans="1:18" x14ac:dyDescent="0.25">
      <c r="A49">
        <v>48</v>
      </c>
      <c r="C49" t="s">
        <v>435</v>
      </c>
      <c r="D49" t="s">
        <v>224</v>
      </c>
      <c r="F49" t="s">
        <v>225</v>
      </c>
      <c r="G49">
        <v>1997</v>
      </c>
      <c r="H49" t="s">
        <v>42</v>
      </c>
      <c r="I49" t="s">
        <v>21</v>
      </c>
      <c r="J49" t="s">
        <v>226</v>
      </c>
      <c r="N49">
        <v>50</v>
      </c>
      <c r="O49" t="s">
        <v>74</v>
      </c>
      <c r="Q49" t="s">
        <v>38</v>
      </c>
      <c r="R49" t="s">
        <v>227</v>
      </c>
    </row>
    <row r="50" spans="1:18" x14ac:dyDescent="0.25">
      <c r="A50">
        <v>49</v>
      </c>
      <c r="C50" t="s">
        <v>436</v>
      </c>
      <c r="D50" t="s">
        <v>228</v>
      </c>
      <c r="F50" t="s">
        <v>229</v>
      </c>
      <c r="G50">
        <v>1987</v>
      </c>
      <c r="H50" t="s">
        <v>100</v>
      </c>
      <c r="I50" t="s">
        <v>36</v>
      </c>
      <c r="J50" t="s">
        <v>226</v>
      </c>
      <c r="N50">
        <v>46</v>
      </c>
      <c r="O50" t="s">
        <v>23</v>
      </c>
      <c r="Q50" t="s">
        <v>230</v>
      </c>
      <c r="R50" t="s">
        <v>231</v>
      </c>
    </row>
    <row r="51" spans="1:18" x14ac:dyDescent="0.25">
      <c r="A51">
        <v>50</v>
      </c>
      <c r="C51" t="s">
        <v>427</v>
      </c>
      <c r="D51" t="s">
        <v>232</v>
      </c>
      <c r="E51" t="s">
        <v>233</v>
      </c>
      <c r="F51" t="s">
        <v>234</v>
      </c>
      <c r="G51">
        <v>1993</v>
      </c>
      <c r="H51" t="s">
        <v>59</v>
      </c>
      <c r="I51" t="s">
        <v>36</v>
      </c>
      <c r="J51" t="s">
        <v>235</v>
      </c>
      <c r="N51">
        <v>93</v>
      </c>
      <c r="O51" t="s">
        <v>64</v>
      </c>
      <c r="Q51" t="s">
        <v>236</v>
      </c>
      <c r="R5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1"/>
  <sheetViews>
    <sheetView topLeftCell="Q1" zoomScale="69" zoomScaleNormal="130" workbookViewId="0">
      <selection activeCell="W8" sqref="W8"/>
    </sheetView>
  </sheetViews>
  <sheetFormatPr defaultColWidth="12.6328125" defaultRowHeight="15.75" customHeight="1" x14ac:dyDescent="0.25"/>
  <cols>
    <col min="1" max="1" width="18.90625" customWidth="1"/>
    <col min="2" max="2" width="18.90625" bestFit="1" customWidth="1"/>
    <col min="3" max="3" width="23.7265625" customWidth="1"/>
    <col min="4" max="4" width="14.08984375" bestFit="1" customWidth="1"/>
    <col min="5" max="5" width="18.1796875" bestFit="1" customWidth="1"/>
    <col min="6" max="6" width="20" bestFit="1" customWidth="1"/>
    <col min="7" max="7" width="17.36328125" bestFit="1" customWidth="1"/>
    <col min="8" max="8" width="17.7265625" bestFit="1" customWidth="1"/>
    <col min="9" max="9" width="14.36328125" bestFit="1" customWidth="1"/>
    <col min="10" max="10" width="15.26953125" bestFit="1" customWidth="1"/>
    <col min="11" max="11" width="22" bestFit="1" customWidth="1"/>
    <col min="12" max="12" width="23.26953125" bestFit="1" customWidth="1"/>
    <col min="13" max="13" width="18.54296875" bestFit="1" customWidth="1"/>
    <col min="14" max="14" width="27.1796875" bestFit="1" customWidth="1"/>
    <col min="15" max="15" width="14.7265625" bestFit="1" customWidth="1"/>
    <col min="16" max="16" width="20.26953125" bestFit="1" customWidth="1"/>
    <col min="17" max="17" width="23.6328125" bestFit="1" customWidth="1"/>
    <col min="18" max="18" width="23.6328125" customWidth="1"/>
    <col min="19" max="19" width="22.6328125" bestFit="1" customWidth="1"/>
    <col min="20" max="20" width="25.1796875" bestFit="1" customWidth="1"/>
    <col min="21" max="21" width="19.36328125" customWidth="1"/>
  </cols>
  <sheetData>
    <row r="1" spans="1:21" ht="16" customHeight="1" x14ac:dyDescent="0.3">
      <c r="A1" s="10" t="s">
        <v>0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259</v>
      </c>
      <c r="Q1" s="10" t="s">
        <v>437</v>
      </c>
      <c r="R1" s="10" t="s">
        <v>14</v>
      </c>
      <c r="S1" s="10" t="s">
        <v>15</v>
      </c>
      <c r="T1" s="10" t="s">
        <v>413</v>
      </c>
      <c r="U1" s="10" t="s">
        <v>425</v>
      </c>
    </row>
    <row r="2" spans="1:21" ht="16" customHeight="1" x14ac:dyDescent="0.25">
      <c r="A2" s="1">
        <v>1</v>
      </c>
      <c r="B2" s="1" t="str">
        <f>TEXT(A2,"000")</f>
        <v>001</v>
      </c>
      <c r="C2" t="str">
        <f>D2 &amp; " " &amp; E2 &amp; " " &amp; F2 &amp; " " &amp; G2</f>
        <v>Ms. Annie  Abbott</v>
      </c>
      <c r="D2" s="1" t="s">
        <v>17</v>
      </c>
      <c r="E2" s="1" t="s">
        <v>18</v>
      </c>
      <c r="G2" s="1" t="s">
        <v>19</v>
      </c>
      <c r="H2" s="1">
        <v>1997</v>
      </c>
      <c r="I2" s="1" t="s">
        <v>20</v>
      </c>
      <c r="J2" s="1" t="s">
        <v>21</v>
      </c>
      <c r="K2" s="1" t="s">
        <v>22</v>
      </c>
      <c r="L2" t="str">
        <f>VLOOKUP(K2,'Location Details'!$C$6:$E$18,2,0)</f>
        <v>USA</v>
      </c>
      <c r="M2" t="str">
        <f>VLOOKUP(K2,'Location Details'!$C$6:$E$18,3,0)</f>
        <v>English</v>
      </c>
      <c r="N2" s="11" t="str">
        <f t="shared" ref="N2:N33" si="0">LOWER(G2 &amp; "." &amp; E2 &amp; IF(M2="English", "@xyz.org", "@xyz.com"))</f>
        <v>abbott.annie@xyz.org</v>
      </c>
      <c r="O2" s="1">
        <v>94</v>
      </c>
      <c r="P2" s="1" t="s">
        <v>23</v>
      </c>
      <c r="Q2" t="str">
        <f>VLOOKUP(S2,'Sports Details'!$B$1:$C$33,2,0)</f>
        <v>INDOOR</v>
      </c>
      <c r="R2" t="str">
        <f>PROPER(TRIM(Q2))</f>
        <v>Indoor</v>
      </c>
      <c r="S2" s="1" t="s">
        <v>24</v>
      </c>
      <c r="T2" s="1" t="s">
        <v>25</v>
      </c>
      <c r="U2" s="1">
        <f>VALUE(LEFT(T2,LEN(T2)-2)) * 1000</f>
        <v>80730</v>
      </c>
    </row>
    <row r="3" spans="1:21" ht="16" customHeight="1" x14ac:dyDescent="0.25">
      <c r="A3" s="1">
        <v>2</v>
      </c>
      <c r="B3" s="1" t="str">
        <f t="shared" ref="B3:B51" si="1">TEXT(A3,"000")</f>
        <v>002</v>
      </c>
      <c r="C3" t="str">
        <f t="shared" ref="C3:C51" si="2">D3 &amp; " " &amp; E3 &amp; " " &amp; F3 &amp; " " &amp; G3</f>
        <v>Ms. Aurelie  Liesuchke</v>
      </c>
      <c r="D3" s="1" t="s">
        <v>17</v>
      </c>
      <c r="E3" s="1" t="s">
        <v>26</v>
      </c>
      <c r="G3" s="1" t="s">
        <v>27</v>
      </c>
      <c r="H3" s="1">
        <v>1992</v>
      </c>
      <c r="I3" s="1" t="s">
        <v>28</v>
      </c>
      <c r="J3" s="1" t="s">
        <v>21</v>
      </c>
      <c r="K3" s="1" t="s">
        <v>22</v>
      </c>
      <c r="L3" t="str">
        <f>VLOOKUP(K3,'Location Details'!$C$6:$E$18,2,0)</f>
        <v>USA</v>
      </c>
      <c r="M3" t="str">
        <f>VLOOKUP(K3,'Location Details'!$C$6:$E$18,3,0)</f>
        <v>English</v>
      </c>
      <c r="N3" s="11" t="str">
        <f t="shared" si="0"/>
        <v>liesuchke.aurelie@xyz.org</v>
      </c>
      <c r="O3" s="1">
        <v>84</v>
      </c>
      <c r="P3" s="1" t="s">
        <v>29</v>
      </c>
      <c r="Q3" t="str">
        <f>VLOOKUP(S3,'Sports Details'!$B$1:$C$33,2,0)</f>
        <v>INDOOR</v>
      </c>
      <c r="R3" t="str">
        <f t="shared" ref="R3:R51" si="3">PROPER(TRIM(Q3))</f>
        <v>Indoor</v>
      </c>
      <c r="S3" s="1" t="s">
        <v>30</v>
      </c>
      <c r="T3" s="1" t="s">
        <v>31</v>
      </c>
      <c r="U3" s="1">
        <f t="shared" ref="U3:U51" si="4">VALUE(LEFT(T3,LEN(T3)-2)) * 1000</f>
        <v>87470</v>
      </c>
    </row>
    <row r="4" spans="1:21" ht="16" customHeight="1" x14ac:dyDescent="0.25">
      <c r="A4" s="1">
        <v>3</v>
      </c>
      <c r="B4" s="1" t="str">
        <f t="shared" si="1"/>
        <v>003</v>
      </c>
      <c r="C4" t="str">
        <f t="shared" si="2"/>
        <v>Mr. Tomas Ferreira Filho</v>
      </c>
      <c r="D4" s="1" t="s">
        <v>51</v>
      </c>
      <c r="E4" s="1" t="s">
        <v>32</v>
      </c>
      <c r="F4" s="1" t="s">
        <v>33</v>
      </c>
      <c r="G4" s="1" t="s">
        <v>34</v>
      </c>
      <c r="H4" s="1">
        <v>1969</v>
      </c>
      <c r="I4" s="1" t="s">
        <v>35</v>
      </c>
      <c r="J4" s="1" t="s">
        <v>36</v>
      </c>
      <c r="K4" s="1" t="s">
        <v>37</v>
      </c>
      <c r="L4" t="str">
        <f>VLOOKUP(K4,'Location Details'!$C$6:$E$18,2,0)</f>
        <v>BRAZIL</v>
      </c>
      <c r="M4" t="str">
        <f>VLOOKUP(K4,'Location Details'!$C$6:$E$18,3,0)</f>
        <v>Portuguese</v>
      </c>
      <c r="N4" s="11" t="str">
        <f t="shared" si="0"/>
        <v>filho.tomas@xyz.com</v>
      </c>
      <c r="O4" s="1">
        <v>53</v>
      </c>
      <c r="P4" s="1" t="s">
        <v>23</v>
      </c>
      <c r="Q4" t="str">
        <f>VLOOKUP(S4,'Sports Details'!$B$1:$C$33,2,0)</f>
        <v>OUTDOOR</v>
      </c>
      <c r="R4" t="str">
        <f t="shared" si="3"/>
        <v>Outdoor</v>
      </c>
      <c r="S4" s="1" t="s">
        <v>38</v>
      </c>
      <c r="T4" s="1" t="s">
        <v>39</v>
      </c>
      <c r="U4" s="1">
        <f t="shared" si="4"/>
        <v>64720</v>
      </c>
    </row>
    <row r="5" spans="1:21" ht="16" customHeight="1" x14ac:dyDescent="0.25">
      <c r="A5" s="1">
        <v>4</v>
      </c>
      <c r="B5" s="1" t="str">
        <f t="shared" si="1"/>
        <v>004</v>
      </c>
      <c r="C5" t="str">
        <f t="shared" si="2"/>
        <v>Ms. Darby  Cruickshank</v>
      </c>
      <c r="D5" s="1" t="s">
        <v>17</v>
      </c>
      <c r="E5" s="1" t="s">
        <v>40</v>
      </c>
      <c r="G5" s="1" t="s">
        <v>41</v>
      </c>
      <c r="H5" s="1">
        <v>1975</v>
      </c>
      <c r="I5" s="1" t="s">
        <v>42</v>
      </c>
      <c r="J5" s="1" t="s">
        <v>21</v>
      </c>
      <c r="K5" s="1" t="s">
        <v>22</v>
      </c>
      <c r="L5" t="str">
        <f>VLOOKUP(K5,'Location Details'!$C$6:$E$18,2,0)</f>
        <v>USA</v>
      </c>
      <c r="M5" t="str">
        <f>VLOOKUP(K5,'Location Details'!$C$6:$E$18,3,0)</f>
        <v>English</v>
      </c>
      <c r="N5" s="11" t="str">
        <f t="shared" si="0"/>
        <v>cruickshank.darby@xyz.org</v>
      </c>
      <c r="O5" s="1">
        <v>49</v>
      </c>
      <c r="P5" s="1" t="s">
        <v>29</v>
      </c>
      <c r="Q5" t="str">
        <f>VLOOKUP(S5,'Sports Details'!$B$1:$C$33,2,0)</f>
        <v>OUTDOOR</v>
      </c>
      <c r="R5" t="str">
        <f t="shared" si="3"/>
        <v>Outdoor</v>
      </c>
      <c r="S5" s="1" t="s">
        <v>43</v>
      </c>
      <c r="T5" s="1" t="s">
        <v>44</v>
      </c>
      <c r="U5" s="1">
        <f t="shared" si="4"/>
        <v>110800</v>
      </c>
    </row>
    <row r="6" spans="1:21" ht="16" customHeight="1" x14ac:dyDescent="0.25">
      <c r="A6" s="1">
        <v>5</v>
      </c>
      <c r="B6" s="1" t="str">
        <f t="shared" si="1"/>
        <v>005</v>
      </c>
      <c r="C6" t="str">
        <f t="shared" si="2"/>
        <v>Dr. Jaydon  Borer</v>
      </c>
      <c r="D6" s="1" t="s">
        <v>45</v>
      </c>
      <c r="E6" s="1" t="s">
        <v>46</v>
      </c>
      <c r="G6" s="1" t="s">
        <v>47</v>
      </c>
      <c r="H6" s="1">
        <v>1970</v>
      </c>
      <c r="I6" s="1" t="s">
        <v>42</v>
      </c>
      <c r="J6" s="1" t="s">
        <v>36</v>
      </c>
      <c r="K6" s="1" t="s">
        <v>22</v>
      </c>
      <c r="L6" t="str">
        <f>VLOOKUP(K6,'Location Details'!$C$6:$E$18,2,0)</f>
        <v>USA</v>
      </c>
      <c r="M6" t="str">
        <f>VLOOKUP(K6,'Location Details'!$C$6:$E$18,3,0)</f>
        <v>English</v>
      </c>
      <c r="N6" s="11" t="str">
        <f t="shared" si="0"/>
        <v>borer.jaydon@xyz.org</v>
      </c>
      <c r="O6" s="1">
        <v>85</v>
      </c>
      <c r="P6" s="1" t="s">
        <v>48</v>
      </c>
      <c r="Q6" t="str">
        <f>VLOOKUP(S6,'Sports Details'!$B$1:$C$33,2,0)</f>
        <v>INDOOR</v>
      </c>
      <c r="R6" t="str">
        <f t="shared" si="3"/>
        <v>Indoor</v>
      </c>
      <c r="S6" s="1" t="s">
        <v>49</v>
      </c>
      <c r="T6" s="1" t="s">
        <v>50</v>
      </c>
      <c r="U6" s="1">
        <f t="shared" si="4"/>
        <v>56920</v>
      </c>
    </row>
    <row r="7" spans="1:21" ht="16" customHeight="1" x14ac:dyDescent="0.25">
      <c r="A7" s="1">
        <v>6</v>
      </c>
      <c r="B7" s="1" t="str">
        <f t="shared" si="1"/>
        <v>006</v>
      </c>
      <c r="C7" t="str">
        <f t="shared" si="2"/>
        <v>Mr. Moriah  Lynch</v>
      </c>
      <c r="D7" s="1" t="s">
        <v>51</v>
      </c>
      <c r="E7" s="1" t="s">
        <v>52</v>
      </c>
      <c r="G7" s="1" t="s">
        <v>53</v>
      </c>
      <c r="H7" s="1">
        <v>1992</v>
      </c>
      <c r="I7" s="1" t="s">
        <v>54</v>
      </c>
      <c r="J7" s="1" t="s">
        <v>36</v>
      </c>
      <c r="K7" s="1" t="s">
        <v>22</v>
      </c>
      <c r="L7" t="str">
        <f>VLOOKUP(K7,'Location Details'!$C$6:$E$18,2,0)</f>
        <v>USA</v>
      </c>
      <c r="M7" t="str">
        <f>VLOOKUP(K7,'Location Details'!$C$6:$E$18,3,0)</f>
        <v>English</v>
      </c>
      <c r="N7" s="11" t="str">
        <f t="shared" si="0"/>
        <v>lynch.moriah@xyz.org</v>
      </c>
      <c r="O7" s="1">
        <v>83</v>
      </c>
      <c r="P7" s="1" t="s">
        <v>29</v>
      </c>
      <c r="Q7" t="str">
        <f>VLOOKUP(S7,'Sports Details'!$B$1:$C$33,2,0)</f>
        <v>INDOOR</v>
      </c>
      <c r="R7" t="str">
        <f t="shared" si="3"/>
        <v>Indoor</v>
      </c>
      <c r="S7" s="1" t="s">
        <v>55</v>
      </c>
      <c r="T7" s="1" t="s">
        <v>56</v>
      </c>
      <c r="U7" s="1">
        <f t="shared" si="4"/>
        <v>51130</v>
      </c>
    </row>
    <row r="8" spans="1:21" ht="16" customHeight="1" x14ac:dyDescent="0.25">
      <c r="A8" s="1">
        <v>7</v>
      </c>
      <c r="B8" s="1" t="str">
        <f t="shared" si="1"/>
        <v>007</v>
      </c>
      <c r="C8" t="str">
        <f t="shared" si="2"/>
        <v>Ms. Amiya  Eichmann</v>
      </c>
      <c r="D8" s="1" t="s">
        <v>17</v>
      </c>
      <c r="E8" s="1" t="s">
        <v>57</v>
      </c>
      <c r="G8" s="1" t="s">
        <v>58</v>
      </c>
      <c r="H8" s="1">
        <v>1999</v>
      </c>
      <c r="I8" s="1" t="s">
        <v>59</v>
      </c>
      <c r="J8" s="1" t="s">
        <v>21</v>
      </c>
      <c r="K8" s="1" t="s">
        <v>22</v>
      </c>
      <c r="L8" t="str">
        <f>VLOOKUP(K8,'Location Details'!$C$6:$E$18,2,0)</f>
        <v>USA</v>
      </c>
      <c r="M8" t="str">
        <f>VLOOKUP(K8,'Location Details'!$C$6:$E$18,3,0)</f>
        <v>English</v>
      </c>
      <c r="N8" s="11" t="str">
        <f t="shared" si="0"/>
        <v>eichmann.amiya@xyz.org</v>
      </c>
      <c r="O8" s="1">
        <v>61</v>
      </c>
      <c r="P8" s="1" t="s">
        <v>48</v>
      </c>
      <c r="Q8" t="str">
        <f>VLOOKUP(S8,'Sports Details'!$B$1:$C$33,2,0)</f>
        <v>OUTDOOR</v>
      </c>
      <c r="R8" t="str">
        <f t="shared" si="3"/>
        <v>Outdoor</v>
      </c>
      <c r="S8" s="1" t="s">
        <v>60</v>
      </c>
      <c r="T8" s="1" t="s">
        <v>61</v>
      </c>
      <c r="U8" s="1">
        <f t="shared" si="4"/>
        <v>65470</v>
      </c>
    </row>
    <row r="9" spans="1:21" ht="16" customHeight="1" x14ac:dyDescent="0.25">
      <c r="A9" s="1">
        <v>8</v>
      </c>
      <c r="B9" s="1" t="str">
        <f t="shared" si="1"/>
        <v>008</v>
      </c>
      <c r="C9" t="str">
        <f t="shared" si="2"/>
        <v>Mr. Pierce  Rau</v>
      </c>
      <c r="D9" s="1" t="s">
        <v>51</v>
      </c>
      <c r="E9" s="1" t="s">
        <v>62</v>
      </c>
      <c r="G9" s="1" t="s">
        <v>63</v>
      </c>
      <c r="H9" s="1">
        <v>1963</v>
      </c>
      <c r="I9" s="1" t="s">
        <v>42</v>
      </c>
      <c r="J9" s="1" t="s">
        <v>36</v>
      </c>
      <c r="K9" s="1" t="s">
        <v>22</v>
      </c>
      <c r="L9" t="str">
        <f>VLOOKUP(K9,'Location Details'!$C$6:$E$18,2,0)</f>
        <v>USA</v>
      </c>
      <c r="M9" t="str">
        <f>VLOOKUP(K9,'Location Details'!$C$6:$E$18,3,0)</f>
        <v>English</v>
      </c>
      <c r="N9" s="11" t="str">
        <f t="shared" si="0"/>
        <v>rau.pierce@xyz.org</v>
      </c>
      <c r="O9" s="1">
        <v>106</v>
      </c>
      <c r="P9" s="1" t="s">
        <v>64</v>
      </c>
      <c r="Q9" t="str">
        <f>VLOOKUP(S9,'Sports Details'!$B$1:$C$33,2,0)</f>
        <v>INDOOR</v>
      </c>
      <c r="R9" t="str">
        <f t="shared" si="3"/>
        <v>Indoor</v>
      </c>
      <c r="S9" s="1" t="s">
        <v>65</v>
      </c>
      <c r="T9" s="1" t="s">
        <v>66</v>
      </c>
      <c r="U9" s="1">
        <f t="shared" si="4"/>
        <v>109900</v>
      </c>
    </row>
    <row r="10" spans="1:21" ht="16" customHeight="1" x14ac:dyDescent="0.25">
      <c r="A10" s="1">
        <v>9</v>
      </c>
      <c r="B10" s="1" t="str">
        <f t="shared" si="1"/>
        <v>009</v>
      </c>
      <c r="C10" t="str">
        <f t="shared" si="2"/>
        <v>Ms. Amelia  Stevens</v>
      </c>
      <c r="D10" s="1" t="s">
        <v>17</v>
      </c>
      <c r="E10" s="1" t="s">
        <v>67</v>
      </c>
      <c r="G10" s="1" t="s">
        <v>68</v>
      </c>
      <c r="H10" s="1">
        <v>1971</v>
      </c>
      <c r="I10" s="1" t="s">
        <v>28</v>
      </c>
      <c r="J10" s="1" t="s">
        <v>21</v>
      </c>
      <c r="K10" s="1" t="s">
        <v>69</v>
      </c>
      <c r="L10" t="str">
        <f>VLOOKUP(K10,'Location Details'!$C$6:$E$18,2,0)</f>
        <v>UK</v>
      </c>
      <c r="M10" t="str">
        <f>VLOOKUP(K10,'Location Details'!$C$6:$E$18,3,0)</f>
        <v>English</v>
      </c>
      <c r="N10" s="11" t="str">
        <f t="shared" si="0"/>
        <v>stevens.amelia@xyz.org</v>
      </c>
      <c r="O10" s="1">
        <v>65</v>
      </c>
      <c r="P10" s="1" t="s">
        <v>64</v>
      </c>
      <c r="Q10" t="str">
        <f>VLOOKUP(S10,'Sports Details'!$B$1:$C$33,2,0)</f>
        <v>INDOOR</v>
      </c>
      <c r="R10" t="str">
        <f t="shared" si="3"/>
        <v>Indoor</v>
      </c>
      <c r="S10" s="1" t="s">
        <v>70</v>
      </c>
      <c r="T10" s="1" t="s">
        <v>71</v>
      </c>
      <c r="U10" s="1">
        <f t="shared" si="4"/>
        <v>60060</v>
      </c>
    </row>
    <row r="11" spans="1:21" ht="16" customHeight="1" x14ac:dyDescent="0.25">
      <c r="A11" s="1">
        <v>10</v>
      </c>
      <c r="B11" s="1" t="str">
        <f t="shared" si="1"/>
        <v>010</v>
      </c>
      <c r="C11" t="str">
        <f t="shared" si="2"/>
        <v>Mr. Toby  Simpson</v>
      </c>
      <c r="D11" s="1" t="s">
        <v>51</v>
      </c>
      <c r="E11" s="1" t="s">
        <v>72</v>
      </c>
      <c r="G11" s="1" t="s">
        <v>73</v>
      </c>
      <c r="H11" s="1">
        <v>1964</v>
      </c>
      <c r="I11" s="1" t="s">
        <v>54</v>
      </c>
      <c r="J11" s="1" t="s">
        <v>36</v>
      </c>
      <c r="K11" s="1" t="s">
        <v>69</v>
      </c>
      <c r="L11" t="str">
        <f>VLOOKUP(K11,'Location Details'!$C$6:$E$18,2,0)</f>
        <v>UK</v>
      </c>
      <c r="M11" t="str">
        <f>VLOOKUP(K11,'Location Details'!$C$6:$E$18,3,0)</f>
        <v>English</v>
      </c>
      <c r="N11" s="11" t="str">
        <f t="shared" si="0"/>
        <v>simpson.toby@xyz.org</v>
      </c>
      <c r="O11" s="1">
        <v>63</v>
      </c>
      <c r="P11" s="1" t="s">
        <v>74</v>
      </c>
      <c r="Q11" t="str">
        <f>VLOOKUP(S11,'Sports Details'!$B$1:$C$33,2,0)</f>
        <v>OUTDOOR</v>
      </c>
      <c r="R11" t="str">
        <f t="shared" si="3"/>
        <v>Outdoor</v>
      </c>
      <c r="S11" s="1" t="s">
        <v>60</v>
      </c>
      <c r="T11" s="1" t="s">
        <v>75</v>
      </c>
      <c r="U11" s="1">
        <f t="shared" si="4"/>
        <v>32759.999999999996</v>
      </c>
    </row>
    <row r="12" spans="1:21" ht="16" customHeight="1" x14ac:dyDescent="0.25">
      <c r="A12" s="1">
        <v>11</v>
      </c>
      <c r="B12" s="1" t="str">
        <f t="shared" si="1"/>
        <v>011</v>
      </c>
      <c r="C12" t="str">
        <f t="shared" si="2"/>
        <v>Sir Ethan  Murphy</v>
      </c>
      <c r="D12" s="1" t="s">
        <v>76</v>
      </c>
      <c r="E12" s="1" t="s">
        <v>77</v>
      </c>
      <c r="G12" s="1" t="s">
        <v>78</v>
      </c>
      <c r="H12" s="1">
        <v>1986</v>
      </c>
      <c r="I12" s="1" t="s">
        <v>79</v>
      </c>
      <c r="J12" s="1" t="s">
        <v>36</v>
      </c>
      <c r="K12" s="1" t="s">
        <v>69</v>
      </c>
      <c r="L12" t="str">
        <f>VLOOKUP(K12,'Location Details'!$C$6:$E$18,2,0)</f>
        <v>UK</v>
      </c>
      <c r="M12" t="str">
        <f>VLOOKUP(K12,'Location Details'!$C$6:$E$18,3,0)</f>
        <v>English</v>
      </c>
      <c r="N12" s="11" t="str">
        <f t="shared" si="0"/>
        <v>murphy.ethan@xyz.org</v>
      </c>
      <c r="O12" s="1">
        <v>104</v>
      </c>
      <c r="P12" s="1" t="s">
        <v>74</v>
      </c>
      <c r="Q12" t="str">
        <f>VLOOKUP(S12,'Sports Details'!$B$1:$C$33,2,0)</f>
        <v>OUTDOOR</v>
      </c>
      <c r="R12" t="str">
        <f t="shared" si="3"/>
        <v>Outdoor</v>
      </c>
      <c r="S12" s="1" t="s">
        <v>80</v>
      </c>
      <c r="T12" s="1" t="s">
        <v>81</v>
      </c>
      <c r="U12" s="1">
        <f t="shared" si="4"/>
        <v>99610</v>
      </c>
    </row>
    <row r="13" spans="1:21" ht="16" customHeight="1" x14ac:dyDescent="0.25">
      <c r="A13" s="1">
        <v>12</v>
      </c>
      <c r="B13" s="1" t="str">
        <f t="shared" si="1"/>
        <v>012</v>
      </c>
      <c r="C13" t="str">
        <f t="shared" si="2"/>
        <v>Mrs. Ashley  Wood</v>
      </c>
      <c r="D13" s="1" t="s">
        <v>82</v>
      </c>
      <c r="E13" s="1" t="s">
        <v>83</v>
      </c>
      <c r="G13" s="1" t="s">
        <v>84</v>
      </c>
      <c r="H13" s="1">
        <v>1977</v>
      </c>
      <c r="I13" s="1" t="s">
        <v>20</v>
      </c>
      <c r="J13" s="1" t="s">
        <v>21</v>
      </c>
      <c r="K13" s="1" t="s">
        <v>69</v>
      </c>
      <c r="L13" t="str">
        <f>VLOOKUP(K13,'Location Details'!$C$6:$E$18,2,0)</f>
        <v>UK</v>
      </c>
      <c r="M13" t="str">
        <f>VLOOKUP(K13,'Location Details'!$C$6:$E$18,3,0)</f>
        <v>English</v>
      </c>
      <c r="N13" s="11" t="str">
        <f t="shared" si="0"/>
        <v>wood.ashley@xyz.org</v>
      </c>
      <c r="O13" s="1">
        <v>101</v>
      </c>
      <c r="P13" s="1" t="s">
        <v>74</v>
      </c>
      <c r="Q13" t="str">
        <f>VLOOKUP(S13,'Sports Details'!$B$1:$C$33,2,0)</f>
        <v>OUTDOOR</v>
      </c>
      <c r="R13" t="str">
        <f t="shared" si="3"/>
        <v>Outdoor</v>
      </c>
      <c r="S13" s="1" t="s">
        <v>85</v>
      </c>
      <c r="T13" s="1" t="s">
        <v>86</v>
      </c>
      <c r="U13" s="1">
        <f t="shared" si="4"/>
        <v>56600</v>
      </c>
    </row>
    <row r="14" spans="1:21" ht="16" customHeight="1" x14ac:dyDescent="0.25">
      <c r="A14" s="1">
        <v>13</v>
      </c>
      <c r="B14" s="1" t="str">
        <f t="shared" si="1"/>
        <v>013</v>
      </c>
      <c r="C14" t="str">
        <f t="shared" si="2"/>
        <v>Ms. Megan  Scott</v>
      </c>
      <c r="D14" s="1" t="s">
        <v>17</v>
      </c>
      <c r="E14" s="1" t="s">
        <v>87</v>
      </c>
      <c r="G14" s="1" t="s">
        <v>88</v>
      </c>
      <c r="H14" s="1">
        <v>1977</v>
      </c>
      <c r="I14" s="1" t="s">
        <v>28</v>
      </c>
      <c r="J14" s="1" t="s">
        <v>21</v>
      </c>
      <c r="K14" s="1" t="s">
        <v>69</v>
      </c>
      <c r="L14" t="str">
        <f>VLOOKUP(K14,'Location Details'!$C$6:$E$18,2,0)</f>
        <v>UK</v>
      </c>
      <c r="M14" t="str">
        <f>VLOOKUP(K14,'Location Details'!$C$6:$E$18,3,0)</f>
        <v>English</v>
      </c>
      <c r="N14" s="11" t="str">
        <f t="shared" si="0"/>
        <v>scott.megan@xyz.org</v>
      </c>
      <c r="O14" s="1">
        <v>71</v>
      </c>
      <c r="P14" s="1" t="s">
        <v>23</v>
      </c>
      <c r="Q14" t="str">
        <f>VLOOKUP(S14,'Sports Details'!$B$1:$C$33,2,0)</f>
        <v>OUTDOOR</v>
      </c>
      <c r="R14" t="str">
        <f t="shared" si="3"/>
        <v>Outdoor</v>
      </c>
      <c r="S14" s="1" t="s">
        <v>89</v>
      </c>
      <c r="T14" s="1" t="s">
        <v>90</v>
      </c>
      <c r="U14" s="1">
        <f t="shared" si="4"/>
        <v>117400</v>
      </c>
    </row>
    <row r="15" spans="1:21" ht="16" customHeight="1" x14ac:dyDescent="0.25">
      <c r="A15" s="1">
        <v>14</v>
      </c>
      <c r="B15" s="1" t="str">
        <f t="shared" si="1"/>
        <v>014</v>
      </c>
      <c r="C15" t="str">
        <f t="shared" si="2"/>
        <v>Mr. Helmut  Weinhae</v>
      </c>
      <c r="D15" s="1" t="s">
        <v>51</v>
      </c>
      <c r="E15" s="1" t="s">
        <v>91</v>
      </c>
      <c r="G15" s="1" t="s">
        <v>92</v>
      </c>
      <c r="H15" s="1">
        <v>1959</v>
      </c>
      <c r="I15" s="1" t="s">
        <v>93</v>
      </c>
      <c r="J15" s="1" t="s">
        <v>36</v>
      </c>
      <c r="K15" s="1" t="s">
        <v>94</v>
      </c>
      <c r="L15" t="str">
        <f>VLOOKUP(K15,'Location Details'!$C$6:$E$18,2,0)</f>
        <v>GERMANY</v>
      </c>
      <c r="M15" t="str">
        <f>VLOOKUP(K15,'Location Details'!$C$6:$E$18,3,0)</f>
        <v>German</v>
      </c>
      <c r="N15" s="11" t="str">
        <f t="shared" si="0"/>
        <v>weinhae.helmut@xyz.com</v>
      </c>
      <c r="O15" s="1">
        <v>68</v>
      </c>
      <c r="P15" s="1" t="s">
        <v>64</v>
      </c>
      <c r="Q15" t="str">
        <f>VLOOKUP(S15,'Sports Details'!$B$1:$C$33,2,0)</f>
        <v>OUTDOOR</v>
      </c>
      <c r="R15" t="str">
        <f t="shared" si="3"/>
        <v>Outdoor</v>
      </c>
      <c r="S15" s="1" t="s">
        <v>95</v>
      </c>
      <c r="T15" s="1" t="s">
        <v>96</v>
      </c>
      <c r="U15" s="1">
        <f t="shared" si="4"/>
        <v>64860</v>
      </c>
    </row>
    <row r="16" spans="1:21" ht="16" customHeight="1" x14ac:dyDescent="0.25">
      <c r="A16" s="1">
        <v>15</v>
      </c>
      <c r="B16" s="1" t="str">
        <f t="shared" si="1"/>
        <v>015</v>
      </c>
      <c r="C16" t="str">
        <f t="shared" si="2"/>
        <v>Prof. Milena  Schotin</v>
      </c>
      <c r="D16" s="1" t="s">
        <v>97</v>
      </c>
      <c r="E16" s="1" t="s">
        <v>98</v>
      </c>
      <c r="G16" s="1" t="s">
        <v>99</v>
      </c>
      <c r="H16" s="1">
        <v>1965</v>
      </c>
      <c r="I16" s="1" t="s">
        <v>100</v>
      </c>
      <c r="J16" s="1" t="s">
        <v>21</v>
      </c>
      <c r="K16" s="1" t="s">
        <v>94</v>
      </c>
      <c r="L16" t="str">
        <f>VLOOKUP(K16,'Location Details'!$C$6:$E$18,2,0)</f>
        <v>GERMANY</v>
      </c>
      <c r="M16" t="str">
        <f>VLOOKUP(K16,'Location Details'!$C$6:$E$18,3,0)</f>
        <v>German</v>
      </c>
      <c r="N16" s="11" t="str">
        <f t="shared" si="0"/>
        <v>schotin.milena@xyz.com</v>
      </c>
      <c r="O16" s="1">
        <v>105</v>
      </c>
      <c r="P16" s="1" t="s">
        <v>74</v>
      </c>
      <c r="Q16" t="str">
        <f>VLOOKUP(S16,'Sports Details'!$B$1:$C$33,2,0)</f>
        <v>INDOOR</v>
      </c>
      <c r="R16" t="str">
        <f t="shared" si="3"/>
        <v>Indoor</v>
      </c>
      <c r="S16" s="1" t="s">
        <v>101</v>
      </c>
      <c r="T16" s="1" t="s">
        <v>102</v>
      </c>
      <c r="U16" s="1">
        <f t="shared" si="4"/>
        <v>10240</v>
      </c>
    </row>
    <row r="17" spans="1:21" ht="16" customHeight="1" x14ac:dyDescent="0.25">
      <c r="A17" s="1">
        <v>16</v>
      </c>
      <c r="B17" s="1" t="str">
        <f t="shared" si="1"/>
        <v>016</v>
      </c>
      <c r="C17" t="str">
        <f t="shared" si="2"/>
        <v>Mr. Lothar  Birnbaum</v>
      </c>
      <c r="D17" s="1" t="s">
        <v>51</v>
      </c>
      <c r="E17" s="1" t="s">
        <v>103</v>
      </c>
      <c r="G17" s="1" t="s">
        <v>104</v>
      </c>
      <c r="H17" s="1">
        <v>1969</v>
      </c>
      <c r="I17" s="1" t="s">
        <v>35</v>
      </c>
      <c r="J17" s="1" t="s">
        <v>36</v>
      </c>
      <c r="K17" s="1" t="s">
        <v>94</v>
      </c>
      <c r="L17" t="str">
        <f>VLOOKUP(K17,'Location Details'!$C$6:$E$18,2,0)</f>
        <v>GERMANY</v>
      </c>
      <c r="M17" t="str">
        <f>VLOOKUP(K17,'Location Details'!$C$6:$E$18,3,0)</f>
        <v>German</v>
      </c>
      <c r="N17" s="11" t="str">
        <f t="shared" si="0"/>
        <v>birnbaum.lothar@xyz.com</v>
      </c>
      <c r="O17" s="1">
        <v>49</v>
      </c>
      <c r="P17" s="1" t="s">
        <v>74</v>
      </c>
      <c r="Q17" t="str">
        <f>VLOOKUP(S17,'Sports Details'!$B$1:$C$33,2,0)</f>
        <v>OUTDOOR</v>
      </c>
      <c r="R17" t="str">
        <f t="shared" si="3"/>
        <v>Outdoor</v>
      </c>
      <c r="S17" s="1" t="s">
        <v>43</v>
      </c>
      <c r="T17" s="1" t="s">
        <v>105</v>
      </c>
      <c r="U17" s="1">
        <f t="shared" si="4"/>
        <v>88760</v>
      </c>
    </row>
    <row r="18" spans="1:21" ht="16" customHeight="1" x14ac:dyDescent="0.25">
      <c r="A18" s="1">
        <v>17</v>
      </c>
      <c r="B18" s="1" t="str">
        <f t="shared" si="1"/>
        <v>017</v>
      </c>
      <c r="C18" t="str">
        <f t="shared" si="2"/>
        <v>Mr. Pietro  Stolze</v>
      </c>
      <c r="D18" s="1" t="s">
        <v>51</v>
      </c>
      <c r="E18" s="1" t="s">
        <v>106</v>
      </c>
      <c r="G18" s="1" t="s">
        <v>107</v>
      </c>
      <c r="H18" s="1">
        <v>1972</v>
      </c>
      <c r="I18" s="1" t="s">
        <v>20</v>
      </c>
      <c r="J18" s="1" t="s">
        <v>36</v>
      </c>
      <c r="K18" s="1" t="s">
        <v>94</v>
      </c>
      <c r="L18" t="str">
        <f>VLOOKUP(K18,'Location Details'!$C$6:$E$18,2,0)</f>
        <v>GERMANY</v>
      </c>
      <c r="M18" t="str">
        <f>VLOOKUP(K18,'Location Details'!$C$6:$E$18,3,0)</f>
        <v>German</v>
      </c>
      <c r="N18" s="11" t="str">
        <f t="shared" si="0"/>
        <v>stolze.pietro@xyz.com</v>
      </c>
      <c r="O18" s="1">
        <v>106</v>
      </c>
      <c r="P18" s="1" t="s">
        <v>23</v>
      </c>
      <c r="Q18" t="str">
        <f>VLOOKUP(S18,'Sports Details'!$B$1:$C$33,2,0)</f>
        <v>INDOOR</v>
      </c>
      <c r="R18" t="str">
        <f t="shared" si="3"/>
        <v>Indoor</v>
      </c>
      <c r="S18" s="1" t="s">
        <v>108</v>
      </c>
      <c r="T18" s="1" t="s">
        <v>109</v>
      </c>
      <c r="U18" s="1">
        <f t="shared" si="4"/>
        <v>80760</v>
      </c>
    </row>
    <row r="19" spans="1:21" ht="16" customHeight="1" x14ac:dyDescent="0.25">
      <c r="A19" s="1">
        <v>18</v>
      </c>
      <c r="B19" s="1" t="str">
        <f t="shared" si="1"/>
        <v>018</v>
      </c>
      <c r="C19" t="str">
        <f t="shared" si="2"/>
        <v>Mr. Richard  Tlustek</v>
      </c>
      <c r="D19" s="1" t="s">
        <v>51</v>
      </c>
      <c r="E19" s="1" t="s">
        <v>110</v>
      </c>
      <c r="G19" s="1" t="s">
        <v>111</v>
      </c>
      <c r="H19" s="1">
        <v>1959</v>
      </c>
      <c r="I19" s="1" t="s">
        <v>93</v>
      </c>
      <c r="J19" s="1" t="s">
        <v>36</v>
      </c>
      <c r="K19" s="1" t="s">
        <v>94</v>
      </c>
      <c r="L19" t="str">
        <f>VLOOKUP(K19,'Location Details'!$C$6:$E$18,2,0)</f>
        <v>GERMANY</v>
      </c>
      <c r="M19" t="str">
        <f>VLOOKUP(K19,'Location Details'!$C$6:$E$18,3,0)</f>
        <v>German</v>
      </c>
      <c r="N19" s="11" t="str">
        <f t="shared" si="0"/>
        <v>tlustek.richard@xyz.com</v>
      </c>
      <c r="O19" s="1">
        <v>71</v>
      </c>
      <c r="P19" s="1" t="s">
        <v>23</v>
      </c>
      <c r="Q19" t="str">
        <f>VLOOKUP(S19,'Sports Details'!$B$1:$C$33,2,0)</f>
        <v>OUTDOOR</v>
      </c>
      <c r="R19" t="str">
        <f t="shared" si="3"/>
        <v>Outdoor</v>
      </c>
      <c r="S19" s="1" t="s">
        <v>112</v>
      </c>
      <c r="T19" s="1" t="s">
        <v>113</v>
      </c>
      <c r="U19" s="1">
        <f t="shared" si="4"/>
        <v>88790</v>
      </c>
    </row>
    <row r="20" spans="1:21" ht="16" customHeight="1" x14ac:dyDescent="0.25">
      <c r="A20" s="1">
        <v>19</v>
      </c>
      <c r="B20" s="1" t="str">
        <f t="shared" si="1"/>
        <v>019</v>
      </c>
      <c r="C20" t="str">
        <f t="shared" si="2"/>
        <v>Dr. Earnestine  Raynor</v>
      </c>
      <c r="D20" s="1" t="s">
        <v>45</v>
      </c>
      <c r="E20" s="1" t="s">
        <v>114</v>
      </c>
      <c r="G20" s="1" t="s">
        <v>115</v>
      </c>
      <c r="H20" s="1">
        <v>1977</v>
      </c>
      <c r="I20" s="1" t="s">
        <v>42</v>
      </c>
      <c r="J20" s="1" t="s">
        <v>21</v>
      </c>
      <c r="K20" s="1" t="s">
        <v>116</v>
      </c>
      <c r="L20" t="str">
        <f>VLOOKUP(K20,'Location Details'!$C$6:$E$18,2,0)</f>
        <v>AUSTRALIA</v>
      </c>
      <c r="M20" t="str">
        <f>VLOOKUP(K20,'Location Details'!$C$6:$E$18,3,0)</f>
        <v>English</v>
      </c>
      <c r="N20" s="11" t="str">
        <f t="shared" si="0"/>
        <v>raynor.earnestine@xyz.org</v>
      </c>
      <c r="O20" s="1">
        <v>70</v>
      </c>
      <c r="P20" s="1" t="s">
        <v>64</v>
      </c>
      <c r="Q20" t="str">
        <f>VLOOKUP(S20,'Sports Details'!$B$1:$C$33,2,0)</f>
        <v>INDOOR</v>
      </c>
      <c r="R20" t="str">
        <f t="shared" si="3"/>
        <v>Indoor</v>
      </c>
      <c r="S20" s="1" t="s">
        <v>117</v>
      </c>
      <c r="T20" s="1" t="s">
        <v>118</v>
      </c>
      <c r="U20" s="1">
        <f t="shared" si="4"/>
        <v>63530</v>
      </c>
    </row>
    <row r="21" spans="1:21" ht="16" customHeight="1" x14ac:dyDescent="0.25">
      <c r="A21" s="1">
        <v>20</v>
      </c>
      <c r="B21" s="1" t="str">
        <f t="shared" si="1"/>
        <v>020</v>
      </c>
      <c r="C21" t="str">
        <f t="shared" si="2"/>
        <v>Mr. Jason  Gaylord</v>
      </c>
      <c r="D21" s="1" t="s">
        <v>51</v>
      </c>
      <c r="E21" s="1" t="s">
        <v>119</v>
      </c>
      <c r="G21" s="1" t="s">
        <v>120</v>
      </c>
      <c r="H21" s="1">
        <v>1976</v>
      </c>
      <c r="I21" s="1" t="s">
        <v>121</v>
      </c>
      <c r="J21" s="1" t="s">
        <v>36</v>
      </c>
      <c r="K21" s="1" t="s">
        <v>116</v>
      </c>
      <c r="L21" t="str">
        <f>VLOOKUP(K21,'Location Details'!$C$6:$E$18,2,0)</f>
        <v>AUSTRALIA</v>
      </c>
      <c r="M21" t="str">
        <f>VLOOKUP(K21,'Location Details'!$C$6:$E$18,3,0)</f>
        <v>English</v>
      </c>
      <c r="N21" s="11" t="str">
        <f t="shared" si="0"/>
        <v>gaylord.jason@xyz.org</v>
      </c>
      <c r="O21" s="1">
        <v>55</v>
      </c>
      <c r="P21" s="1" t="s">
        <v>29</v>
      </c>
      <c r="Q21" t="str">
        <f>VLOOKUP(S21,'Sports Details'!$B$1:$C$33,2,0)</f>
        <v>INDOOR</v>
      </c>
      <c r="R21" t="str">
        <f t="shared" si="3"/>
        <v>Indoor</v>
      </c>
      <c r="S21" s="1" t="s">
        <v>122</v>
      </c>
      <c r="T21" s="1" t="s">
        <v>123</v>
      </c>
      <c r="U21" s="1">
        <f t="shared" si="4"/>
        <v>46350</v>
      </c>
    </row>
    <row r="22" spans="1:21" ht="16" customHeight="1" x14ac:dyDescent="0.25">
      <c r="A22" s="1">
        <v>21</v>
      </c>
      <c r="B22" s="1" t="str">
        <f t="shared" si="1"/>
        <v>021</v>
      </c>
      <c r="C22" t="str">
        <f t="shared" si="2"/>
        <v>Mr. Kendrick  Sauer</v>
      </c>
      <c r="D22" s="1" t="s">
        <v>51</v>
      </c>
      <c r="E22" s="1" t="s">
        <v>124</v>
      </c>
      <c r="G22" s="1" t="s">
        <v>125</v>
      </c>
      <c r="H22" s="1">
        <v>1996</v>
      </c>
      <c r="I22" s="1" t="s">
        <v>35</v>
      </c>
      <c r="J22" s="1" t="s">
        <v>36</v>
      </c>
      <c r="K22" s="1" t="s">
        <v>116</v>
      </c>
      <c r="L22" t="str">
        <f>VLOOKUP(K22,'Location Details'!$C$6:$E$18,2,0)</f>
        <v>AUSTRALIA</v>
      </c>
      <c r="M22" t="str">
        <f>VLOOKUP(K22,'Location Details'!$C$6:$E$18,3,0)</f>
        <v>English</v>
      </c>
      <c r="N22" s="11" t="str">
        <f t="shared" si="0"/>
        <v>sauer.kendrick@xyz.org</v>
      </c>
      <c r="O22" s="1">
        <v>101</v>
      </c>
      <c r="P22" s="1" t="s">
        <v>48</v>
      </c>
      <c r="Q22" t="str">
        <f>VLOOKUP(S22,'Sports Details'!$B$1:$C$33,2,0)</f>
        <v>OUTDOOR</v>
      </c>
      <c r="R22" t="str">
        <f t="shared" si="3"/>
        <v>Outdoor</v>
      </c>
      <c r="S22" s="1" t="s">
        <v>126</v>
      </c>
      <c r="T22" s="1" t="s">
        <v>127</v>
      </c>
      <c r="U22" s="1">
        <f t="shared" si="4"/>
        <v>106800</v>
      </c>
    </row>
    <row r="23" spans="1:21" ht="16" customHeight="1" x14ac:dyDescent="0.25">
      <c r="A23" s="1">
        <v>22</v>
      </c>
      <c r="B23" s="1" t="str">
        <f t="shared" si="1"/>
        <v>022</v>
      </c>
      <c r="C23" t="str">
        <f t="shared" si="2"/>
        <v>Dr. Annabell  Olson</v>
      </c>
      <c r="D23" s="1" t="s">
        <v>45</v>
      </c>
      <c r="E23" s="1" t="s">
        <v>128</v>
      </c>
      <c r="G23" s="1" t="s">
        <v>129</v>
      </c>
      <c r="H23" s="1">
        <v>1964</v>
      </c>
      <c r="I23" s="1" t="s">
        <v>130</v>
      </c>
      <c r="J23" s="1" t="s">
        <v>21</v>
      </c>
      <c r="K23" s="1" t="s">
        <v>116</v>
      </c>
      <c r="L23" t="str">
        <f>VLOOKUP(K23,'Location Details'!$C$6:$E$18,2,0)</f>
        <v>AUSTRALIA</v>
      </c>
      <c r="M23" t="str">
        <f>VLOOKUP(K23,'Location Details'!$C$6:$E$18,3,0)</f>
        <v>English</v>
      </c>
      <c r="N23" s="11" t="str">
        <f t="shared" si="0"/>
        <v>olson.annabell@xyz.org</v>
      </c>
      <c r="O23" s="1">
        <v>84</v>
      </c>
      <c r="P23" s="1" t="s">
        <v>64</v>
      </c>
      <c r="Q23" t="str">
        <f>VLOOKUP(S23,'Sports Details'!$B$1:$C$33,2,0)</f>
        <v>OUTDOOR</v>
      </c>
      <c r="R23" t="str">
        <f t="shared" si="3"/>
        <v>Outdoor</v>
      </c>
      <c r="S23" s="1" t="s">
        <v>131</v>
      </c>
      <c r="T23" s="1" t="s">
        <v>132</v>
      </c>
      <c r="U23" s="1">
        <f t="shared" si="4"/>
        <v>96470</v>
      </c>
    </row>
    <row r="24" spans="1:21" ht="16" customHeight="1" x14ac:dyDescent="0.25">
      <c r="A24" s="1">
        <v>23</v>
      </c>
      <c r="B24" s="1" t="str">
        <f t="shared" si="1"/>
        <v>023</v>
      </c>
      <c r="C24" t="str">
        <f t="shared" si="2"/>
        <v>Dr. Jena  Upton</v>
      </c>
      <c r="D24" s="1" t="s">
        <v>45</v>
      </c>
      <c r="E24" s="1" t="s">
        <v>133</v>
      </c>
      <c r="G24" s="1" t="s">
        <v>134</v>
      </c>
      <c r="H24" s="1">
        <v>1955</v>
      </c>
      <c r="I24" s="1" t="s">
        <v>54</v>
      </c>
      <c r="J24" s="1" t="s">
        <v>21</v>
      </c>
      <c r="K24" s="1" t="s">
        <v>116</v>
      </c>
      <c r="L24" t="str">
        <f>VLOOKUP(K24,'Location Details'!$C$6:$E$18,2,0)</f>
        <v>AUSTRALIA</v>
      </c>
      <c r="M24" t="str">
        <f>VLOOKUP(K24,'Location Details'!$C$6:$E$18,3,0)</f>
        <v>English</v>
      </c>
      <c r="N24" s="11" t="str">
        <f t="shared" si="0"/>
        <v>upton.jena@xyz.org</v>
      </c>
      <c r="O24" s="1">
        <v>67</v>
      </c>
      <c r="P24" s="1" t="s">
        <v>74</v>
      </c>
      <c r="Q24" t="str">
        <f>VLOOKUP(S24,'Sports Details'!$B$1:$C$33,2,0)</f>
        <v>OUTDOOR</v>
      </c>
      <c r="R24" t="str">
        <f t="shared" si="3"/>
        <v>Outdoor</v>
      </c>
      <c r="S24" s="1" t="s">
        <v>135</v>
      </c>
      <c r="T24" s="1" t="s">
        <v>136</v>
      </c>
      <c r="U24" s="1">
        <f t="shared" si="4"/>
        <v>16530</v>
      </c>
    </row>
    <row r="25" spans="1:21" ht="16" customHeight="1" x14ac:dyDescent="0.25">
      <c r="A25" s="1">
        <v>24</v>
      </c>
      <c r="B25" s="1" t="str">
        <f t="shared" si="1"/>
        <v>024</v>
      </c>
      <c r="C25" t="str">
        <f t="shared" si="2"/>
        <v>Dr. Shanny  Bins</v>
      </c>
      <c r="D25" s="1" t="s">
        <v>45</v>
      </c>
      <c r="E25" s="1" t="s">
        <v>137</v>
      </c>
      <c r="G25" s="1" t="s">
        <v>138</v>
      </c>
      <c r="H25" s="1">
        <v>1999</v>
      </c>
      <c r="I25" s="1" t="s">
        <v>93</v>
      </c>
      <c r="J25" s="1" t="s">
        <v>21</v>
      </c>
      <c r="K25" s="1" t="s">
        <v>116</v>
      </c>
      <c r="L25" t="str">
        <f>VLOOKUP(K25,'Location Details'!$C$6:$E$18,2,0)</f>
        <v>AUSTRALIA</v>
      </c>
      <c r="M25" t="str">
        <f>VLOOKUP(K25,'Location Details'!$C$6:$E$18,3,0)</f>
        <v>English</v>
      </c>
      <c r="N25" s="11" t="str">
        <f t="shared" si="0"/>
        <v>bins.shanny@xyz.org</v>
      </c>
      <c r="O25" s="1">
        <v>59</v>
      </c>
      <c r="P25" s="1" t="s">
        <v>48</v>
      </c>
      <c r="Q25" t="str">
        <f>VLOOKUP(S25,'Sports Details'!$B$1:$C$33,2,0)</f>
        <v>OUTDOOR</v>
      </c>
      <c r="R25" t="str">
        <f t="shared" si="3"/>
        <v>Outdoor</v>
      </c>
      <c r="S25" s="1" t="s">
        <v>139</v>
      </c>
      <c r="T25" s="1" t="s">
        <v>140</v>
      </c>
      <c r="U25" s="1">
        <f t="shared" si="4"/>
        <v>21890</v>
      </c>
    </row>
    <row r="26" spans="1:21" ht="16" customHeight="1" x14ac:dyDescent="0.25">
      <c r="A26" s="1">
        <v>25</v>
      </c>
      <c r="B26" s="1" t="str">
        <f t="shared" si="1"/>
        <v>025</v>
      </c>
      <c r="C26" t="str">
        <f t="shared" si="2"/>
        <v>Dr. Tia  Abshire</v>
      </c>
      <c r="D26" s="1" t="s">
        <v>45</v>
      </c>
      <c r="E26" s="1" t="s">
        <v>141</v>
      </c>
      <c r="G26" s="1" t="s">
        <v>142</v>
      </c>
      <c r="H26" s="1">
        <v>1966</v>
      </c>
      <c r="I26" s="1" t="s">
        <v>35</v>
      </c>
      <c r="J26" s="1" t="s">
        <v>21</v>
      </c>
      <c r="K26" s="1" t="s">
        <v>116</v>
      </c>
      <c r="L26" t="str">
        <f>VLOOKUP(K26,'Location Details'!$C$6:$E$18,2,0)</f>
        <v>AUSTRALIA</v>
      </c>
      <c r="M26" t="str">
        <f>VLOOKUP(K26,'Location Details'!$C$6:$E$18,3,0)</f>
        <v>English</v>
      </c>
      <c r="N26" s="11" t="str">
        <f t="shared" si="0"/>
        <v>abshire.tia@xyz.org</v>
      </c>
      <c r="O26" s="1">
        <v>78</v>
      </c>
      <c r="P26" s="1" t="s">
        <v>64</v>
      </c>
      <c r="Q26" t="str">
        <f>VLOOKUP(S26,'Sports Details'!$B$1:$C$33,2,0)</f>
        <v>OUTDOOR</v>
      </c>
      <c r="R26" t="str">
        <f t="shared" si="3"/>
        <v>Outdoor</v>
      </c>
      <c r="S26" s="1" t="s">
        <v>60</v>
      </c>
      <c r="T26" s="1" t="s">
        <v>143</v>
      </c>
      <c r="U26" s="1">
        <f t="shared" si="4"/>
        <v>62040</v>
      </c>
    </row>
    <row r="27" spans="1:21" ht="16" customHeight="1" x14ac:dyDescent="0.25">
      <c r="A27" s="1">
        <v>26</v>
      </c>
      <c r="B27" s="1" t="str">
        <f t="shared" si="1"/>
        <v>026</v>
      </c>
      <c r="C27" t="str">
        <f t="shared" si="2"/>
        <v>Ms. Isabel  Runolfsdottir</v>
      </c>
      <c r="D27" s="1" t="s">
        <v>17</v>
      </c>
      <c r="E27" s="1" t="s">
        <v>144</v>
      </c>
      <c r="G27" s="1" t="s">
        <v>145</v>
      </c>
      <c r="H27" s="1">
        <v>1978</v>
      </c>
      <c r="I27" s="1" t="s">
        <v>130</v>
      </c>
      <c r="J27" s="1" t="s">
        <v>21</v>
      </c>
      <c r="K27" s="1" t="s">
        <v>116</v>
      </c>
      <c r="L27" t="str">
        <f>VLOOKUP(K27,'Location Details'!$C$6:$E$18,2,0)</f>
        <v>AUSTRALIA</v>
      </c>
      <c r="M27" t="str">
        <f>VLOOKUP(K27,'Location Details'!$C$6:$E$18,3,0)</f>
        <v>English</v>
      </c>
      <c r="N27" s="11" t="str">
        <f t="shared" si="0"/>
        <v>runolfsdottir.isabel@xyz.org</v>
      </c>
      <c r="O27" s="1">
        <v>86</v>
      </c>
      <c r="P27" s="1" t="s">
        <v>146</v>
      </c>
      <c r="Q27" t="str">
        <f>VLOOKUP(S27,'Sports Details'!$B$1:$C$33,2,0)</f>
        <v>INDOOR</v>
      </c>
      <c r="R27" t="str">
        <f t="shared" si="3"/>
        <v>Indoor</v>
      </c>
      <c r="S27" s="1" t="s">
        <v>24</v>
      </c>
      <c r="T27" s="1" t="s">
        <v>147</v>
      </c>
      <c r="U27" s="1">
        <f t="shared" si="4"/>
        <v>89740</v>
      </c>
    </row>
    <row r="28" spans="1:21" ht="16" customHeight="1" x14ac:dyDescent="0.25">
      <c r="A28" s="1">
        <v>27</v>
      </c>
      <c r="B28" s="1" t="str">
        <f t="shared" si="1"/>
        <v>027</v>
      </c>
      <c r="C28" t="str">
        <f t="shared" si="2"/>
        <v>Mr. Barney  Wesack</v>
      </c>
      <c r="D28" s="1" t="s">
        <v>51</v>
      </c>
      <c r="E28" s="1" t="s">
        <v>148</v>
      </c>
      <c r="G28" s="1" t="s">
        <v>149</v>
      </c>
      <c r="H28" s="1">
        <v>1970</v>
      </c>
      <c r="I28" s="1" t="s">
        <v>35</v>
      </c>
      <c r="J28" s="1" t="s">
        <v>36</v>
      </c>
      <c r="K28" s="1" t="s">
        <v>150</v>
      </c>
      <c r="L28" t="str">
        <f>VLOOKUP(K28,'Location Details'!$C$6:$E$18,2,0)</f>
        <v>AUSTRIA</v>
      </c>
      <c r="M28" t="str">
        <f>VLOOKUP(K28,'Location Details'!$C$6:$E$18,3,0)</f>
        <v>German</v>
      </c>
      <c r="N28" s="11" t="str">
        <f t="shared" si="0"/>
        <v>wesack.barney@xyz.com</v>
      </c>
      <c r="O28" s="1">
        <v>93</v>
      </c>
      <c r="P28" s="1" t="s">
        <v>146</v>
      </c>
      <c r="Q28" t="str">
        <f>VLOOKUP(S28,'Sports Details'!$B$1:$C$33,2,0)</f>
        <v>INDOOR</v>
      </c>
      <c r="R28" t="str">
        <f t="shared" si="3"/>
        <v>Indoor</v>
      </c>
      <c r="S28" s="1" t="s">
        <v>151</v>
      </c>
      <c r="T28" s="1" t="s">
        <v>152</v>
      </c>
      <c r="U28" s="1">
        <f t="shared" si="4"/>
        <v>41040</v>
      </c>
    </row>
    <row r="29" spans="1:21" ht="16" customHeight="1" x14ac:dyDescent="0.25">
      <c r="A29" s="1">
        <v>28</v>
      </c>
      <c r="B29" s="1" t="str">
        <f t="shared" si="1"/>
        <v>028</v>
      </c>
      <c r="C29" t="str">
        <f t="shared" si="2"/>
        <v>Mr. Baruch  Kade</v>
      </c>
      <c r="D29" s="1" t="s">
        <v>51</v>
      </c>
      <c r="E29" s="1" t="s">
        <v>153</v>
      </c>
      <c r="G29" s="1" t="s">
        <v>154</v>
      </c>
      <c r="H29" s="1">
        <v>1982</v>
      </c>
      <c r="I29" s="1" t="s">
        <v>100</v>
      </c>
      <c r="J29" s="1" t="s">
        <v>36</v>
      </c>
      <c r="K29" s="1" t="s">
        <v>150</v>
      </c>
      <c r="L29" t="str">
        <f>VLOOKUP(K29,'Location Details'!$C$6:$E$18,2,0)</f>
        <v>AUSTRIA</v>
      </c>
      <c r="M29" t="str">
        <f>VLOOKUP(K29,'Location Details'!$C$6:$E$18,3,0)</f>
        <v>German</v>
      </c>
      <c r="N29" s="11" t="str">
        <f t="shared" si="0"/>
        <v>kade.baruch@xyz.com</v>
      </c>
      <c r="O29" s="1">
        <v>96</v>
      </c>
      <c r="P29" s="1" t="s">
        <v>29</v>
      </c>
      <c r="Q29" t="str">
        <f>VLOOKUP(S29,'Sports Details'!$B$1:$C$33,2,0)</f>
        <v>OUTDOOR</v>
      </c>
      <c r="R29" t="str">
        <f t="shared" si="3"/>
        <v>Outdoor</v>
      </c>
      <c r="S29" s="1" t="s">
        <v>89</v>
      </c>
      <c r="T29" s="1" t="s">
        <v>155</v>
      </c>
      <c r="U29" s="1">
        <f t="shared" si="4"/>
        <v>28460</v>
      </c>
    </row>
    <row r="30" spans="1:21" ht="16" customHeight="1" x14ac:dyDescent="0.25">
      <c r="A30" s="1">
        <v>29</v>
      </c>
      <c r="B30" s="1" t="str">
        <f t="shared" si="1"/>
        <v>029</v>
      </c>
      <c r="C30" t="str">
        <f t="shared" si="2"/>
        <v>Prof. Liesbeth  Rosemann</v>
      </c>
      <c r="D30" s="1" t="s">
        <v>97</v>
      </c>
      <c r="E30" s="1" t="s">
        <v>156</v>
      </c>
      <c r="G30" s="1" t="s">
        <v>157</v>
      </c>
      <c r="H30" s="1">
        <v>1994</v>
      </c>
      <c r="I30" s="1" t="s">
        <v>28</v>
      </c>
      <c r="J30" s="1" t="s">
        <v>21</v>
      </c>
      <c r="K30" s="1" t="s">
        <v>150</v>
      </c>
      <c r="L30" t="str">
        <f>VLOOKUP(K30,'Location Details'!$C$6:$E$18,2,0)</f>
        <v>AUSTRIA</v>
      </c>
      <c r="M30" t="str">
        <f>VLOOKUP(K30,'Location Details'!$C$6:$E$18,3,0)</f>
        <v>German</v>
      </c>
      <c r="N30" s="11" t="str">
        <f t="shared" si="0"/>
        <v>rosemann.liesbeth@xyz.com</v>
      </c>
      <c r="O30" s="1">
        <v>52</v>
      </c>
      <c r="P30" s="1" t="s">
        <v>74</v>
      </c>
      <c r="Q30" t="str">
        <f>VLOOKUP(S30,'Sports Details'!$B$1:$C$33,2,0)</f>
        <v>OUTDOOR</v>
      </c>
      <c r="R30" t="str">
        <f t="shared" si="3"/>
        <v>Outdoor</v>
      </c>
      <c r="S30" s="1" t="s">
        <v>60</v>
      </c>
      <c r="T30" s="1" t="s">
        <v>158</v>
      </c>
      <c r="U30" s="1">
        <f t="shared" si="4"/>
        <v>55010</v>
      </c>
    </row>
    <row r="31" spans="1:21" ht="16" customHeight="1" x14ac:dyDescent="0.25">
      <c r="A31" s="1">
        <v>30</v>
      </c>
      <c r="B31" s="1" t="str">
        <f t="shared" si="1"/>
        <v>030</v>
      </c>
      <c r="C31" t="str">
        <f t="shared" si="2"/>
        <v>Mrs. Valentine  Moreau</v>
      </c>
      <c r="D31" s="1" t="s">
        <v>82</v>
      </c>
      <c r="E31" s="1" t="s">
        <v>159</v>
      </c>
      <c r="G31" s="1" t="s">
        <v>160</v>
      </c>
      <c r="H31" s="1">
        <v>1979</v>
      </c>
      <c r="I31" s="1" t="s">
        <v>20</v>
      </c>
      <c r="J31" s="1" t="s">
        <v>21</v>
      </c>
      <c r="K31" s="1" t="s">
        <v>161</v>
      </c>
      <c r="L31" t="str">
        <f>VLOOKUP(K31,'Location Details'!$C$6:$E$18,2,0)</f>
        <v>FRANCE</v>
      </c>
      <c r="M31" t="str">
        <f>VLOOKUP(K31,'Location Details'!$C$6:$E$18,3,0)</f>
        <v>French</v>
      </c>
      <c r="N31" s="11" t="str">
        <f t="shared" si="0"/>
        <v>moreau.valentine@xyz.com</v>
      </c>
      <c r="O31" s="1">
        <v>75</v>
      </c>
      <c r="P31" s="1" t="s">
        <v>146</v>
      </c>
      <c r="Q31" t="str">
        <f>VLOOKUP(S31,'Sports Details'!$B$1:$C$33,2,0)</f>
        <v>OUTDOOR</v>
      </c>
      <c r="R31" t="str">
        <f t="shared" si="3"/>
        <v>Outdoor</v>
      </c>
      <c r="S31" s="1" t="s">
        <v>162</v>
      </c>
      <c r="T31" s="1" t="s">
        <v>163</v>
      </c>
      <c r="U31" s="1">
        <f t="shared" si="4"/>
        <v>69040</v>
      </c>
    </row>
    <row r="32" spans="1:21" ht="16" customHeight="1" x14ac:dyDescent="0.25">
      <c r="A32" s="1">
        <v>31</v>
      </c>
      <c r="B32" s="1" t="str">
        <f t="shared" si="1"/>
        <v>031</v>
      </c>
      <c r="C32" t="str">
        <f t="shared" si="2"/>
        <v>Mrs. Paulette  Durand</v>
      </c>
      <c r="D32" s="1" t="s">
        <v>82</v>
      </c>
      <c r="E32" s="1" t="s">
        <v>164</v>
      </c>
      <c r="G32" s="1" t="s">
        <v>165</v>
      </c>
      <c r="H32" s="1">
        <v>1989</v>
      </c>
      <c r="I32" s="1" t="s">
        <v>121</v>
      </c>
      <c r="J32" s="1" t="s">
        <v>21</v>
      </c>
      <c r="K32" s="1" t="s">
        <v>161</v>
      </c>
      <c r="L32" t="str">
        <f>VLOOKUP(K32,'Location Details'!$C$6:$E$18,2,0)</f>
        <v>FRANCE</v>
      </c>
      <c r="M32" t="str">
        <f>VLOOKUP(K32,'Location Details'!$C$6:$E$18,3,0)</f>
        <v>French</v>
      </c>
      <c r="N32" s="11" t="str">
        <f t="shared" si="0"/>
        <v>durand.paulette@xyz.com</v>
      </c>
      <c r="O32" s="1">
        <v>82</v>
      </c>
      <c r="P32" s="1" t="s">
        <v>29</v>
      </c>
      <c r="Q32" t="str">
        <f>VLOOKUP(S32,'Sports Details'!$B$1:$C$33,2,0)</f>
        <v>INDOOR</v>
      </c>
      <c r="R32" t="str">
        <f t="shared" si="3"/>
        <v>Indoor</v>
      </c>
      <c r="S32" s="1" t="s">
        <v>151</v>
      </c>
      <c r="T32" s="1" t="s">
        <v>166</v>
      </c>
      <c r="U32" s="1">
        <f t="shared" si="4"/>
        <v>86260</v>
      </c>
    </row>
    <row r="33" spans="1:21" ht="16" customHeight="1" x14ac:dyDescent="0.25">
      <c r="A33" s="1">
        <v>32</v>
      </c>
      <c r="B33" s="1" t="str">
        <f t="shared" si="1"/>
        <v>032</v>
      </c>
      <c r="C33" t="str">
        <f t="shared" si="2"/>
        <v>Mrs. Laure-Alix  Chevalier</v>
      </c>
      <c r="D33" s="1" t="s">
        <v>82</v>
      </c>
      <c r="E33" s="1" t="s">
        <v>167</v>
      </c>
      <c r="G33" s="1" t="s">
        <v>168</v>
      </c>
      <c r="H33" s="1">
        <v>1970</v>
      </c>
      <c r="I33" s="1" t="s">
        <v>121</v>
      </c>
      <c r="J33" s="1" t="s">
        <v>21</v>
      </c>
      <c r="K33" s="1" t="s">
        <v>161</v>
      </c>
      <c r="L33" t="str">
        <f>VLOOKUP(K33,'Location Details'!$C$6:$E$18,2,0)</f>
        <v>FRANCE</v>
      </c>
      <c r="M33" t="str">
        <f>VLOOKUP(K33,'Location Details'!$C$6:$E$18,3,0)</f>
        <v>French</v>
      </c>
      <c r="N33" s="11" t="str">
        <f t="shared" si="0"/>
        <v>chevalier.laure-alix@xyz.com</v>
      </c>
      <c r="O33" s="1">
        <v>78</v>
      </c>
      <c r="P33" s="1" t="s">
        <v>74</v>
      </c>
      <c r="Q33" t="str">
        <f>VLOOKUP(S33,'Sports Details'!$B$1:$C$33,2,0)</f>
        <v>OUTDOOR</v>
      </c>
      <c r="R33" t="str">
        <f t="shared" si="3"/>
        <v>Outdoor</v>
      </c>
      <c r="S33" s="1" t="s">
        <v>135</v>
      </c>
      <c r="T33" s="1" t="s">
        <v>169</v>
      </c>
      <c r="U33" s="1">
        <f t="shared" si="4"/>
        <v>19230</v>
      </c>
    </row>
    <row r="34" spans="1:21" ht="16" customHeight="1" x14ac:dyDescent="0.25">
      <c r="A34" s="1">
        <v>33</v>
      </c>
      <c r="B34" s="1" t="str">
        <f t="shared" si="1"/>
        <v>033</v>
      </c>
      <c r="C34" t="str">
        <f t="shared" si="2"/>
        <v>Mr. Claude  Toussaint</v>
      </c>
      <c r="D34" s="1" t="s">
        <v>51</v>
      </c>
      <c r="E34" s="1" t="s">
        <v>170</v>
      </c>
      <c r="G34" s="1" t="s">
        <v>171</v>
      </c>
      <c r="H34" s="1">
        <v>1980</v>
      </c>
      <c r="I34" s="1" t="s">
        <v>79</v>
      </c>
      <c r="J34" s="1" t="s">
        <v>36</v>
      </c>
      <c r="K34" s="1" t="s">
        <v>161</v>
      </c>
      <c r="L34" t="str">
        <f>VLOOKUP(K34,'Location Details'!$C$6:$E$18,2,0)</f>
        <v>FRANCE</v>
      </c>
      <c r="M34" t="str">
        <f>VLOOKUP(K34,'Location Details'!$C$6:$E$18,3,0)</f>
        <v>French</v>
      </c>
      <c r="N34" s="11" t="str">
        <f t="shared" ref="N34:N51" si="5">LOWER(G34 &amp; "." &amp; E34 &amp; IF(M34="English", "@xyz.org", "@xyz.com"))</f>
        <v>toussaint.claude@xyz.com</v>
      </c>
      <c r="O34" s="1">
        <v>57</v>
      </c>
      <c r="P34" s="1" t="s">
        <v>74</v>
      </c>
      <c r="Q34" t="str">
        <f>VLOOKUP(S34,'Sports Details'!$B$1:$C$33,2,0)</f>
        <v>INDOOR</v>
      </c>
      <c r="R34" t="str">
        <f t="shared" si="3"/>
        <v>Indoor</v>
      </c>
      <c r="S34" s="1" t="s">
        <v>172</v>
      </c>
      <c r="T34" s="1" t="s">
        <v>173</v>
      </c>
      <c r="U34" s="1">
        <f t="shared" si="4"/>
        <v>95120</v>
      </c>
    </row>
    <row r="35" spans="1:21" ht="16" customHeight="1" x14ac:dyDescent="0.25">
      <c r="A35" s="1">
        <v>34</v>
      </c>
      <c r="B35" s="1" t="str">
        <f t="shared" si="1"/>
        <v>034</v>
      </c>
      <c r="C35" t="str">
        <f t="shared" si="2"/>
        <v>Mr. Victor  Lenoir</v>
      </c>
      <c r="D35" s="1" t="s">
        <v>51</v>
      </c>
      <c r="E35" s="1" t="s">
        <v>174</v>
      </c>
      <c r="G35" s="1" t="s">
        <v>175</v>
      </c>
      <c r="H35" s="1">
        <v>1981</v>
      </c>
      <c r="I35" s="1" t="s">
        <v>20</v>
      </c>
      <c r="J35" s="1" t="s">
        <v>36</v>
      </c>
      <c r="K35" s="1" t="s">
        <v>161</v>
      </c>
      <c r="L35" t="str">
        <f>VLOOKUP(K35,'Location Details'!$C$6:$E$18,2,0)</f>
        <v>FRANCE</v>
      </c>
      <c r="M35" t="str">
        <f>VLOOKUP(K35,'Location Details'!$C$6:$E$18,3,0)</f>
        <v>French</v>
      </c>
      <c r="N35" s="11" t="str">
        <f t="shared" si="5"/>
        <v>lenoir.victor@xyz.com</v>
      </c>
      <c r="O35" s="1">
        <v>56</v>
      </c>
      <c r="P35" s="1" t="s">
        <v>146</v>
      </c>
      <c r="Q35" t="str">
        <f>VLOOKUP(S35,'Sports Details'!$B$1:$C$33,2,0)</f>
        <v>OUTDOOR</v>
      </c>
      <c r="R35" t="str">
        <f t="shared" si="3"/>
        <v>Outdoor</v>
      </c>
      <c r="S35" s="1" t="s">
        <v>126</v>
      </c>
      <c r="T35" s="1" t="s">
        <v>176</v>
      </c>
      <c r="U35" s="1">
        <f t="shared" si="4"/>
        <v>62760</v>
      </c>
    </row>
    <row r="36" spans="1:21" ht="16" customHeight="1" x14ac:dyDescent="0.25">
      <c r="A36" s="1">
        <v>35</v>
      </c>
      <c r="B36" s="1" t="str">
        <f t="shared" si="1"/>
        <v>035</v>
      </c>
      <c r="C36" t="str">
        <f t="shared" si="2"/>
        <v>Mr. Arthur  Lenoir</v>
      </c>
      <c r="D36" s="1" t="s">
        <v>51</v>
      </c>
      <c r="E36" s="1" t="s">
        <v>177</v>
      </c>
      <c r="G36" s="1" t="s">
        <v>175</v>
      </c>
      <c r="H36" s="1">
        <v>1955</v>
      </c>
      <c r="I36" s="1" t="s">
        <v>59</v>
      </c>
      <c r="J36" s="1" t="s">
        <v>36</v>
      </c>
      <c r="K36" s="1" t="s">
        <v>161</v>
      </c>
      <c r="L36" t="str">
        <f>VLOOKUP(K36,'Location Details'!$C$6:$E$18,2,0)</f>
        <v>FRANCE</v>
      </c>
      <c r="M36" t="str">
        <f>VLOOKUP(K36,'Location Details'!$C$6:$E$18,3,0)</f>
        <v>French</v>
      </c>
      <c r="N36" s="11" t="str">
        <f t="shared" si="5"/>
        <v>lenoir.arthur@xyz.com</v>
      </c>
      <c r="O36" s="1">
        <v>89</v>
      </c>
      <c r="P36" s="1" t="s">
        <v>74</v>
      </c>
      <c r="Q36" t="str">
        <f>VLOOKUP(S36,'Sports Details'!$B$1:$C$33,2,0)</f>
        <v>OUTDOOR</v>
      </c>
      <c r="R36" t="str">
        <f t="shared" si="3"/>
        <v>Outdoor</v>
      </c>
      <c r="S36" s="1" t="s">
        <v>178</v>
      </c>
      <c r="T36" s="1" t="s">
        <v>179</v>
      </c>
      <c r="U36" s="1">
        <f t="shared" si="4"/>
        <v>108400</v>
      </c>
    </row>
    <row r="37" spans="1:21" ht="16" customHeight="1" x14ac:dyDescent="0.25">
      <c r="A37" s="1">
        <v>36</v>
      </c>
      <c r="B37" s="1" t="str">
        <f t="shared" si="1"/>
        <v>036</v>
      </c>
      <c r="C37" t="str">
        <f t="shared" si="2"/>
        <v>Mr. Benjamin  Lebrun-Brun</v>
      </c>
      <c r="D37" s="1" t="s">
        <v>51</v>
      </c>
      <c r="E37" s="1" t="s">
        <v>180</v>
      </c>
      <c r="G37" s="1" t="s">
        <v>181</v>
      </c>
      <c r="H37" s="1">
        <v>1975</v>
      </c>
      <c r="I37" s="1" t="s">
        <v>28</v>
      </c>
      <c r="J37" s="1" t="s">
        <v>36</v>
      </c>
      <c r="K37" s="1" t="s">
        <v>161</v>
      </c>
      <c r="L37" t="str">
        <f>VLOOKUP(K37,'Location Details'!$C$6:$E$18,2,0)</f>
        <v>FRANCE</v>
      </c>
      <c r="M37" t="str">
        <f>VLOOKUP(K37,'Location Details'!$C$6:$E$18,3,0)</f>
        <v>French</v>
      </c>
      <c r="N37" s="11" t="str">
        <f t="shared" si="5"/>
        <v>lebrun-brun.benjamin@xyz.com</v>
      </c>
      <c r="O37" s="1">
        <v>78</v>
      </c>
      <c r="P37" s="1" t="s">
        <v>29</v>
      </c>
      <c r="Q37" t="str">
        <f>VLOOKUP(S37,'Sports Details'!$B$1:$C$33,2,0)</f>
        <v>OUTDOOR</v>
      </c>
      <c r="R37" t="str">
        <f t="shared" si="3"/>
        <v>Outdoor</v>
      </c>
      <c r="S37" s="1" t="s">
        <v>126</v>
      </c>
      <c r="T37" s="1" t="s">
        <v>182</v>
      </c>
      <c r="U37" s="1">
        <f t="shared" si="4"/>
        <v>66270</v>
      </c>
    </row>
    <row r="38" spans="1:21" ht="16" customHeight="1" x14ac:dyDescent="0.25">
      <c r="A38" s="1">
        <v>37</v>
      </c>
      <c r="B38" s="1" t="str">
        <f t="shared" si="1"/>
        <v>037</v>
      </c>
      <c r="C38" t="str">
        <f t="shared" si="2"/>
        <v>Mr. Antoine  Maillard</v>
      </c>
      <c r="D38" s="1" t="s">
        <v>51</v>
      </c>
      <c r="E38" s="1" t="s">
        <v>183</v>
      </c>
      <c r="G38" s="1" t="s">
        <v>184</v>
      </c>
      <c r="H38" s="1">
        <v>1986</v>
      </c>
      <c r="I38" s="1" t="s">
        <v>35</v>
      </c>
      <c r="J38" s="1" t="s">
        <v>36</v>
      </c>
      <c r="K38" s="1" t="s">
        <v>161</v>
      </c>
      <c r="L38" t="str">
        <f>VLOOKUP(K38,'Location Details'!$C$6:$E$18,2,0)</f>
        <v>FRANCE</v>
      </c>
      <c r="M38" t="str">
        <f>VLOOKUP(K38,'Location Details'!$C$6:$E$18,3,0)</f>
        <v>French</v>
      </c>
      <c r="N38" s="11" t="str">
        <f t="shared" si="5"/>
        <v>maillard.antoine@xyz.com</v>
      </c>
      <c r="O38" s="1">
        <v>96</v>
      </c>
      <c r="P38" s="1" t="s">
        <v>48</v>
      </c>
      <c r="Q38" t="str">
        <f>VLOOKUP(S38,'Sports Details'!$B$1:$C$33,2,0)</f>
        <v>OUTDOOR</v>
      </c>
      <c r="R38" t="str">
        <f t="shared" si="3"/>
        <v>Outdoor</v>
      </c>
      <c r="S38" s="1" t="s">
        <v>185</v>
      </c>
      <c r="T38" s="1" t="s">
        <v>186</v>
      </c>
      <c r="U38" s="1">
        <f t="shared" si="4"/>
        <v>33970</v>
      </c>
    </row>
    <row r="39" spans="1:21" ht="16" customHeight="1" x14ac:dyDescent="0.25">
      <c r="A39" s="1">
        <v>38</v>
      </c>
      <c r="B39" s="1" t="str">
        <f t="shared" si="1"/>
        <v>038</v>
      </c>
      <c r="C39" t="str">
        <f t="shared" si="2"/>
        <v>Mr. Bernard  Hoarau-Guyon</v>
      </c>
      <c r="D39" s="1" t="s">
        <v>51</v>
      </c>
      <c r="E39" s="1" t="s">
        <v>187</v>
      </c>
      <c r="G39" s="1" t="s">
        <v>188</v>
      </c>
      <c r="H39" s="1">
        <v>1983</v>
      </c>
      <c r="I39" s="1" t="s">
        <v>121</v>
      </c>
      <c r="J39" s="1" t="s">
        <v>36</v>
      </c>
      <c r="K39" s="1" t="s">
        <v>161</v>
      </c>
      <c r="L39" t="str">
        <f>VLOOKUP(K39,'Location Details'!$C$6:$E$18,2,0)</f>
        <v>FRANCE</v>
      </c>
      <c r="M39" t="str">
        <f>VLOOKUP(K39,'Location Details'!$C$6:$E$18,3,0)</f>
        <v>French</v>
      </c>
      <c r="N39" s="11" t="str">
        <f t="shared" si="5"/>
        <v>hoarau-guyon.bernard@xyz.com</v>
      </c>
      <c r="O39" s="1">
        <v>60</v>
      </c>
      <c r="P39" s="1" t="s">
        <v>29</v>
      </c>
      <c r="Q39" t="str">
        <f>VLOOKUP(S39,'Sports Details'!$B$1:$C$33,2,0)</f>
        <v>INDOOR</v>
      </c>
      <c r="R39" t="str">
        <f t="shared" si="3"/>
        <v>Indoor</v>
      </c>
      <c r="S39" s="1" t="s">
        <v>24</v>
      </c>
      <c r="T39" s="1" t="s">
        <v>189</v>
      </c>
      <c r="U39" s="1">
        <f t="shared" si="4"/>
        <v>71350</v>
      </c>
    </row>
    <row r="40" spans="1:21" ht="16" customHeight="1" x14ac:dyDescent="0.25">
      <c r="A40" s="1">
        <v>39</v>
      </c>
      <c r="B40" s="1" t="str">
        <f t="shared" si="1"/>
        <v>039</v>
      </c>
      <c r="C40" t="str">
        <f t="shared" si="2"/>
        <v>Mr. Hidalgo Cantu Tercero</v>
      </c>
      <c r="D40" s="1" t="s">
        <v>51</v>
      </c>
      <c r="E40" s="1" t="s">
        <v>190</v>
      </c>
      <c r="F40" s="1" t="s">
        <v>191</v>
      </c>
      <c r="G40" s="1" t="s">
        <v>192</v>
      </c>
      <c r="H40" s="1">
        <v>1984</v>
      </c>
      <c r="I40" s="1" t="s">
        <v>54</v>
      </c>
      <c r="J40" s="1" t="s">
        <v>36</v>
      </c>
      <c r="K40" s="1" t="s">
        <v>193</v>
      </c>
      <c r="L40" t="str">
        <f>VLOOKUP(K40,'Location Details'!$C$6:$E$18,2,0)</f>
        <v>ARGENTINA</v>
      </c>
      <c r="M40" t="str">
        <f>VLOOKUP(K40,'Location Details'!$C$6:$E$18,3,0)</f>
        <v>Spanish</v>
      </c>
      <c r="N40" s="11" t="str">
        <f t="shared" si="5"/>
        <v>tercero.hidalgo@xyz.com</v>
      </c>
      <c r="O40" s="1">
        <v>78</v>
      </c>
      <c r="P40" s="1" t="s">
        <v>48</v>
      </c>
      <c r="Q40" t="str">
        <f>VLOOKUP(S40,'Sports Details'!$B$1:$C$33,2,0)</f>
        <v>OUTDOOR</v>
      </c>
      <c r="R40" t="str">
        <f t="shared" si="3"/>
        <v>Outdoor</v>
      </c>
      <c r="S40" s="1" t="s">
        <v>139</v>
      </c>
      <c r="T40" s="1" t="s">
        <v>194</v>
      </c>
      <c r="U40" s="1">
        <f t="shared" si="4"/>
        <v>116400</v>
      </c>
    </row>
    <row r="41" spans="1:21" ht="16" customHeight="1" x14ac:dyDescent="0.25">
      <c r="A41" s="1">
        <v>40</v>
      </c>
      <c r="B41" s="1" t="str">
        <f t="shared" si="1"/>
        <v>040</v>
      </c>
      <c r="C41" t="str">
        <f t="shared" si="2"/>
        <v>Mr. Hadalgo  Polanco</v>
      </c>
      <c r="D41" s="1" t="s">
        <v>51</v>
      </c>
      <c r="E41" s="1" t="s">
        <v>195</v>
      </c>
      <c r="G41" s="1" t="s">
        <v>196</v>
      </c>
      <c r="H41" s="1">
        <v>1988</v>
      </c>
      <c r="I41" s="1" t="s">
        <v>197</v>
      </c>
      <c r="J41" s="1" t="s">
        <v>36</v>
      </c>
      <c r="K41" s="1" t="s">
        <v>193</v>
      </c>
      <c r="L41" t="str">
        <f>VLOOKUP(K41,'Location Details'!$C$6:$E$18,2,0)</f>
        <v>ARGENTINA</v>
      </c>
      <c r="M41" t="str">
        <f>VLOOKUP(K41,'Location Details'!$C$6:$E$18,3,0)</f>
        <v>Spanish</v>
      </c>
      <c r="N41" s="11" t="str">
        <f t="shared" si="5"/>
        <v>polanco.hadalgo@xyz.com</v>
      </c>
      <c r="O41" s="1">
        <v>98</v>
      </c>
      <c r="P41" s="1" t="s">
        <v>23</v>
      </c>
      <c r="Q41" t="str">
        <f>VLOOKUP(S41,'Sports Details'!$B$1:$C$33,2,0)</f>
        <v>OUTDOOR</v>
      </c>
      <c r="R41" t="str">
        <f t="shared" si="3"/>
        <v>Outdoor</v>
      </c>
      <c r="S41" s="1" t="s">
        <v>135</v>
      </c>
      <c r="T41" s="1" t="s">
        <v>198</v>
      </c>
      <c r="U41" s="1">
        <f t="shared" si="4"/>
        <v>114100</v>
      </c>
    </row>
    <row r="42" spans="1:21" ht="16" customHeight="1" x14ac:dyDescent="0.25">
      <c r="A42" s="1">
        <v>41</v>
      </c>
      <c r="B42" s="1" t="str">
        <f t="shared" si="1"/>
        <v>041</v>
      </c>
      <c r="C42" t="str">
        <f t="shared" si="2"/>
        <v>Mrs. Laura  Oliviera</v>
      </c>
      <c r="D42" s="1" t="s">
        <v>82</v>
      </c>
      <c r="E42" s="1" t="s">
        <v>199</v>
      </c>
      <c r="G42" s="1" t="s">
        <v>200</v>
      </c>
      <c r="H42" s="1">
        <v>1974</v>
      </c>
      <c r="I42" s="1" t="s">
        <v>28</v>
      </c>
      <c r="J42" s="1" t="s">
        <v>21</v>
      </c>
      <c r="K42" s="1" t="s">
        <v>193</v>
      </c>
      <c r="L42" t="str">
        <f>VLOOKUP(K42,'Location Details'!$C$6:$E$18,2,0)</f>
        <v>ARGENTINA</v>
      </c>
      <c r="M42" t="str">
        <f>VLOOKUP(K42,'Location Details'!$C$6:$E$18,3,0)</f>
        <v>Spanish</v>
      </c>
      <c r="N42" s="11" t="str">
        <f t="shared" si="5"/>
        <v>oliviera.laura@xyz.com</v>
      </c>
      <c r="O42" s="1">
        <v>52</v>
      </c>
      <c r="P42" s="1" t="s">
        <v>29</v>
      </c>
      <c r="Q42" t="str">
        <f>VLOOKUP(S42,'Sports Details'!$B$1:$C$33,2,0)</f>
        <v>OUTDOOR</v>
      </c>
      <c r="R42" t="str">
        <f t="shared" si="3"/>
        <v>Outdoor</v>
      </c>
      <c r="S42" s="1" t="s">
        <v>201</v>
      </c>
      <c r="T42" s="1" t="s">
        <v>202</v>
      </c>
      <c r="U42" s="1">
        <f t="shared" si="4"/>
        <v>79870</v>
      </c>
    </row>
    <row r="43" spans="1:21" ht="16" customHeight="1" x14ac:dyDescent="0.25">
      <c r="A43" s="1">
        <v>42</v>
      </c>
      <c r="B43" s="1" t="str">
        <f t="shared" si="1"/>
        <v>042</v>
      </c>
      <c r="C43" t="str">
        <f t="shared" si="2"/>
        <v>Mrs. Ainhoa  Garza</v>
      </c>
      <c r="D43" s="1" t="s">
        <v>82</v>
      </c>
      <c r="E43" s="1" t="s">
        <v>203</v>
      </c>
      <c r="G43" s="1" t="s">
        <v>204</v>
      </c>
      <c r="H43" s="1">
        <v>1990</v>
      </c>
      <c r="I43" s="1" t="s">
        <v>100</v>
      </c>
      <c r="J43" s="1" t="s">
        <v>21</v>
      </c>
      <c r="K43" s="1" t="s">
        <v>205</v>
      </c>
      <c r="L43" t="str">
        <f>VLOOKUP(K43,'Location Details'!$C$6:$E$18,2,0)</f>
        <v>SPAIN</v>
      </c>
      <c r="M43" t="str">
        <f>VLOOKUP(K43,'Location Details'!$C$6:$E$18,3,0)</f>
        <v>Spanish</v>
      </c>
      <c r="N43" s="11" t="str">
        <f t="shared" si="5"/>
        <v>garza.ainhoa@xyz.com</v>
      </c>
      <c r="O43" s="1">
        <v>56</v>
      </c>
      <c r="P43" s="1" t="s">
        <v>74</v>
      </c>
      <c r="Q43" t="str">
        <f>VLOOKUP(S43,'Sports Details'!$B$1:$C$33,2,0)</f>
        <v>INDOOR</v>
      </c>
      <c r="R43" t="str">
        <f t="shared" si="3"/>
        <v>Indoor</v>
      </c>
      <c r="S43" s="1" t="s">
        <v>206</v>
      </c>
      <c r="T43" s="1" t="s">
        <v>207</v>
      </c>
      <c r="U43" s="1">
        <f t="shared" si="4"/>
        <v>102000</v>
      </c>
    </row>
    <row r="44" spans="1:21" ht="16" customHeight="1" x14ac:dyDescent="0.25">
      <c r="A44" s="1">
        <v>43</v>
      </c>
      <c r="B44" s="1" t="str">
        <f t="shared" si="1"/>
        <v>043</v>
      </c>
      <c r="C44" t="str">
        <f t="shared" si="2"/>
        <v>Mrs. Isabel  Banda</v>
      </c>
      <c r="D44" s="1" t="s">
        <v>82</v>
      </c>
      <c r="E44" s="1" t="s">
        <v>144</v>
      </c>
      <c r="G44" s="1" t="s">
        <v>208</v>
      </c>
      <c r="H44" s="1">
        <v>1960</v>
      </c>
      <c r="I44" s="1" t="s">
        <v>121</v>
      </c>
      <c r="J44" s="1" t="s">
        <v>21</v>
      </c>
      <c r="K44" s="1" t="s">
        <v>205</v>
      </c>
      <c r="L44" t="str">
        <f>VLOOKUP(K44,'Location Details'!$C$6:$E$18,2,0)</f>
        <v>SPAIN</v>
      </c>
      <c r="M44" t="str">
        <f>VLOOKUP(K44,'Location Details'!$C$6:$E$18,3,0)</f>
        <v>Spanish</v>
      </c>
      <c r="N44" s="11" t="str">
        <f t="shared" si="5"/>
        <v>banda.isabel@xyz.com</v>
      </c>
      <c r="O44" s="1">
        <v>102</v>
      </c>
      <c r="P44" s="1" t="s">
        <v>74</v>
      </c>
      <c r="Q44" t="str">
        <f>VLOOKUP(S44,'Sports Details'!$B$1:$C$33,2,0)</f>
        <v>OUTDOOR</v>
      </c>
      <c r="R44" t="str">
        <f t="shared" si="3"/>
        <v>Outdoor</v>
      </c>
      <c r="S44" s="1" t="s">
        <v>139</v>
      </c>
      <c r="T44" s="1" t="s">
        <v>209</v>
      </c>
      <c r="U44" s="1">
        <f t="shared" si="4"/>
        <v>50660</v>
      </c>
    </row>
    <row r="45" spans="1:21" ht="16" customHeight="1" x14ac:dyDescent="0.25">
      <c r="A45" s="1">
        <v>44</v>
      </c>
      <c r="B45" s="1" t="str">
        <f t="shared" si="1"/>
        <v>044</v>
      </c>
      <c r="C45" t="str">
        <f t="shared" si="2"/>
        <v>Mrs. Carolota  Mateos</v>
      </c>
      <c r="D45" s="1" t="s">
        <v>82</v>
      </c>
      <c r="E45" s="1" t="s">
        <v>210</v>
      </c>
      <c r="G45" s="1" t="s">
        <v>211</v>
      </c>
      <c r="H45" s="1">
        <v>1965</v>
      </c>
      <c r="I45" s="1" t="s">
        <v>59</v>
      </c>
      <c r="J45" s="1" t="s">
        <v>21</v>
      </c>
      <c r="K45" s="1" t="s">
        <v>205</v>
      </c>
      <c r="L45" t="str">
        <f>VLOOKUP(K45,'Location Details'!$C$6:$E$18,2,0)</f>
        <v>SPAIN</v>
      </c>
      <c r="M45" t="str">
        <f>VLOOKUP(K45,'Location Details'!$C$6:$E$18,3,0)</f>
        <v>Spanish</v>
      </c>
      <c r="N45" s="11" t="str">
        <f t="shared" si="5"/>
        <v>mateos.carolota@xyz.com</v>
      </c>
      <c r="O45" s="1">
        <v>59</v>
      </c>
      <c r="P45" s="1" t="s">
        <v>29</v>
      </c>
      <c r="Q45" t="str">
        <f>VLOOKUP(S45,'Sports Details'!$B$1:$C$33,2,0)</f>
        <v>OUTDOOR</v>
      </c>
      <c r="R45" t="str">
        <f t="shared" si="3"/>
        <v>Outdoor</v>
      </c>
      <c r="S45" s="1" t="s">
        <v>201</v>
      </c>
      <c r="T45" s="1" t="s">
        <v>212</v>
      </c>
      <c r="U45" s="1">
        <f t="shared" si="4"/>
        <v>58220</v>
      </c>
    </row>
    <row r="46" spans="1:21" ht="16" customHeight="1" x14ac:dyDescent="0.25">
      <c r="A46" s="1">
        <v>45</v>
      </c>
      <c r="B46" s="1" t="str">
        <f t="shared" si="1"/>
        <v>045</v>
      </c>
      <c r="C46" t="str">
        <f t="shared" si="2"/>
        <v>Mrs. Elize  Prins</v>
      </c>
      <c r="D46" s="1" t="s">
        <v>82</v>
      </c>
      <c r="E46" s="1" t="s">
        <v>213</v>
      </c>
      <c r="G46" s="1" t="s">
        <v>214</v>
      </c>
      <c r="H46" s="1">
        <v>1960</v>
      </c>
      <c r="I46" s="1" t="s">
        <v>42</v>
      </c>
      <c r="J46" s="1" t="s">
        <v>21</v>
      </c>
      <c r="K46" s="1" t="s">
        <v>215</v>
      </c>
      <c r="L46" t="str">
        <f>VLOOKUP(K46,'Location Details'!$C$6:$E$18,2,0)</f>
        <v>NETHERLANDS</v>
      </c>
      <c r="M46" t="str">
        <f>VLOOKUP(K46,'Location Details'!$C$6:$E$18,3,0)</f>
        <v>Dutch</v>
      </c>
      <c r="N46" s="11" t="str">
        <f t="shared" si="5"/>
        <v>prins.elize@xyz.com</v>
      </c>
      <c r="O46" s="1">
        <v>64</v>
      </c>
      <c r="P46" s="1" t="s">
        <v>74</v>
      </c>
      <c r="Q46" t="str">
        <f>VLOOKUP(S46,'Sports Details'!$B$1:$C$33,2,0)</f>
        <v>INDOOR</v>
      </c>
      <c r="R46" t="str">
        <f t="shared" si="3"/>
        <v>Indoor</v>
      </c>
      <c r="S46" s="1" t="s">
        <v>216</v>
      </c>
      <c r="T46" s="1" t="s">
        <v>217</v>
      </c>
      <c r="U46" s="1">
        <f t="shared" si="4"/>
        <v>39940</v>
      </c>
    </row>
    <row r="47" spans="1:21" ht="16" customHeight="1" x14ac:dyDescent="0.25">
      <c r="A47" s="1">
        <v>46</v>
      </c>
      <c r="B47" s="1" t="str">
        <f t="shared" si="1"/>
        <v>046</v>
      </c>
      <c r="C47" t="str">
        <f t="shared" si="2"/>
        <v>Mr. Ryan  Pham</v>
      </c>
      <c r="D47" s="1" t="s">
        <v>51</v>
      </c>
      <c r="E47" s="1" t="s">
        <v>218</v>
      </c>
      <c r="G47" s="1" t="s">
        <v>219</v>
      </c>
      <c r="H47" s="1">
        <v>1973</v>
      </c>
      <c r="I47" s="1" t="s">
        <v>20</v>
      </c>
      <c r="J47" s="1" t="s">
        <v>36</v>
      </c>
      <c r="K47" s="1" t="s">
        <v>215</v>
      </c>
      <c r="L47" t="str">
        <f>VLOOKUP(K47,'Location Details'!$C$6:$E$18,2,0)</f>
        <v>NETHERLANDS</v>
      </c>
      <c r="M47" t="str">
        <f>VLOOKUP(K47,'Location Details'!$C$6:$E$18,3,0)</f>
        <v>Dutch</v>
      </c>
      <c r="N47" s="11" t="str">
        <f t="shared" si="5"/>
        <v>pham.ryan@xyz.com</v>
      </c>
      <c r="O47" s="1">
        <v>99</v>
      </c>
      <c r="P47" s="1" t="s">
        <v>146</v>
      </c>
      <c r="Q47" t="str">
        <f>VLOOKUP(S47,'Sports Details'!$B$1:$C$33,2,0)</f>
        <v>OUTDOOR</v>
      </c>
      <c r="R47" t="str">
        <f t="shared" si="3"/>
        <v>Outdoor</v>
      </c>
      <c r="S47" s="1" t="s">
        <v>135</v>
      </c>
      <c r="T47" s="1" t="s">
        <v>220</v>
      </c>
      <c r="U47" s="1">
        <f t="shared" si="4"/>
        <v>44870</v>
      </c>
    </row>
    <row r="48" spans="1:21" ht="16" customHeight="1" x14ac:dyDescent="0.25">
      <c r="A48" s="1">
        <v>47</v>
      </c>
      <c r="B48" s="1" t="str">
        <f t="shared" si="1"/>
        <v>047</v>
      </c>
      <c r="C48" t="str">
        <f t="shared" si="2"/>
        <v>Mrs. Elise  Rotteveel</v>
      </c>
      <c r="D48" s="1" t="s">
        <v>82</v>
      </c>
      <c r="E48" s="1" t="s">
        <v>221</v>
      </c>
      <c r="G48" s="1" t="s">
        <v>222</v>
      </c>
      <c r="H48" s="1">
        <v>1968</v>
      </c>
      <c r="I48" s="1" t="s">
        <v>130</v>
      </c>
      <c r="J48" s="1" t="s">
        <v>21</v>
      </c>
      <c r="K48" s="1" t="s">
        <v>215</v>
      </c>
      <c r="L48" t="str">
        <f>VLOOKUP(K48,'Location Details'!$C$6:$E$18,2,0)</f>
        <v>NETHERLANDS</v>
      </c>
      <c r="M48" t="str">
        <f>VLOOKUP(K48,'Location Details'!$C$6:$E$18,3,0)</f>
        <v>Dutch</v>
      </c>
      <c r="N48" s="11" t="str">
        <f t="shared" si="5"/>
        <v>rotteveel.elise@xyz.com</v>
      </c>
      <c r="O48" s="1">
        <v>62</v>
      </c>
      <c r="P48" s="1" t="s">
        <v>29</v>
      </c>
      <c r="Q48" t="str">
        <f>VLOOKUP(S48,'Sports Details'!$B$1:$C$33,2,0)</f>
        <v>OUTDOOR</v>
      </c>
      <c r="R48" t="str">
        <f t="shared" si="3"/>
        <v>Outdoor</v>
      </c>
      <c r="S48" s="1" t="s">
        <v>135</v>
      </c>
      <c r="T48" s="1" t="s">
        <v>223</v>
      </c>
      <c r="U48" s="1">
        <f t="shared" si="4"/>
        <v>90480</v>
      </c>
    </row>
    <row r="49" spans="1:21" ht="16" customHeight="1" x14ac:dyDescent="0.25">
      <c r="A49" s="1">
        <v>48</v>
      </c>
      <c r="B49" s="1" t="str">
        <f t="shared" si="1"/>
        <v>048</v>
      </c>
      <c r="C49" t="str">
        <f t="shared" si="2"/>
        <v>Mrs. Mirjam  Soderberg</v>
      </c>
      <c r="D49" s="1" t="s">
        <v>82</v>
      </c>
      <c r="E49" s="1" t="s">
        <v>224</v>
      </c>
      <c r="G49" s="1" t="s">
        <v>225</v>
      </c>
      <c r="H49" s="1">
        <v>1997</v>
      </c>
      <c r="I49" s="1" t="s">
        <v>42</v>
      </c>
      <c r="J49" s="1" t="s">
        <v>21</v>
      </c>
      <c r="K49" s="1" t="s">
        <v>226</v>
      </c>
      <c r="L49" t="str">
        <f>VLOOKUP(K49,'Location Details'!$C$6:$E$18,2,0)</f>
        <v>SWEDEN</v>
      </c>
      <c r="M49" t="str">
        <f>VLOOKUP(K49,'Location Details'!$C$6:$E$18,3,0)</f>
        <v>Swedish</v>
      </c>
      <c r="N49" s="11" t="str">
        <f t="shared" si="5"/>
        <v>soderberg.mirjam@xyz.com</v>
      </c>
      <c r="O49" s="1">
        <v>50</v>
      </c>
      <c r="P49" s="1" t="s">
        <v>74</v>
      </c>
      <c r="Q49" t="str">
        <f>VLOOKUP(S49,'Sports Details'!$B$1:$C$33,2,0)</f>
        <v>OUTDOOR</v>
      </c>
      <c r="R49" t="str">
        <f t="shared" si="3"/>
        <v>Outdoor</v>
      </c>
      <c r="S49" s="1" t="s">
        <v>38</v>
      </c>
      <c r="T49" s="1" t="s">
        <v>227</v>
      </c>
      <c r="U49" s="1">
        <f t="shared" si="4"/>
        <v>38970</v>
      </c>
    </row>
    <row r="50" spans="1:21" ht="16" customHeight="1" x14ac:dyDescent="0.25">
      <c r="A50" s="1">
        <v>49</v>
      </c>
      <c r="B50" s="1" t="str">
        <f t="shared" si="1"/>
        <v>049</v>
      </c>
      <c r="C50" t="str">
        <f t="shared" si="2"/>
        <v>Mr. Berndt  Palsson</v>
      </c>
      <c r="D50" s="1" t="s">
        <v>51</v>
      </c>
      <c r="E50" s="1" t="s">
        <v>228</v>
      </c>
      <c r="G50" s="1" t="s">
        <v>229</v>
      </c>
      <c r="H50" s="1">
        <v>1987</v>
      </c>
      <c r="I50" s="1" t="s">
        <v>100</v>
      </c>
      <c r="J50" s="1" t="s">
        <v>36</v>
      </c>
      <c r="K50" s="1" t="s">
        <v>226</v>
      </c>
      <c r="L50" t="str">
        <f>VLOOKUP(K50,'Location Details'!$C$6:$E$18,2,0)</f>
        <v>SWEDEN</v>
      </c>
      <c r="M50" t="str">
        <f>VLOOKUP(K50,'Location Details'!$C$6:$E$18,3,0)</f>
        <v>Swedish</v>
      </c>
      <c r="N50" s="11" t="str">
        <f t="shared" si="5"/>
        <v>palsson.berndt@xyz.com</v>
      </c>
      <c r="O50" s="1">
        <v>46</v>
      </c>
      <c r="P50" s="1" t="s">
        <v>23</v>
      </c>
      <c r="Q50" t="str">
        <f>VLOOKUP(S50,'Sports Details'!$B$1:$C$33,2,0)</f>
        <v>OUTDOOR</v>
      </c>
      <c r="R50" t="str">
        <f t="shared" si="3"/>
        <v>Outdoor</v>
      </c>
      <c r="S50" s="1" t="s">
        <v>230</v>
      </c>
      <c r="T50" s="1" t="s">
        <v>231</v>
      </c>
      <c r="U50" s="1">
        <f t="shared" si="4"/>
        <v>35390</v>
      </c>
    </row>
    <row r="51" spans="1:21" ht="16" customHeight="1" x14ac:dyDescent="0.25">
      <c r="A51" s="1">
        <v>50</v>
      </c>
      <c r="B51" s="1" t="str">
        <f t="shared" si="1"/>
        <v>050</v>
      </c>
      <c r="C51" t="str">
        <f t="shared" si="2"/>
        <v>Mr. Adriano Pontes Sobrinho</v>
      </c>
      <c r="D51" s="1" t="s">
        <v>51</v>
      </c>
      <c r="E51" s="1" t="s">
        <v>232</v>
      </c>
      <c r="F51" s="1" t="s">
        <v>233</v>
      </c>
      <c r="G51" s="1" t="s">
        <v>234</v>
      </c>
      <c r="H51" s="1">
        <v>1993</v>
      </c>
      <c r="I51" s="1" t="s">
        <v>59</v>
      </c>
      <c r="J51" s="1" t="s">
        <v>36</v>
      </c>
      <c r="K51" s="1" t="s">
        <v>235</v>
      </c>
      <c r="L51" t="str">
        <f>VLOOKUP(K51,'Location Details'!$C$6:$E$18,2,0)</f>
        <v>BRAZIL</v>
      </c>
      <c r="M51" t="str">
        <f>VLOOKUP(K51,'Location Details'!$C$6:$E$18,3,0)</f>
        <v>Portuguese</v>
      </c>
      <c r="N51" s="11" t="str">
        <f t="shared" si="5"/>
        <v>sobrinho.adriano@xyz.com</v>
      </c>
      <c r="O51" s="1">
        <v>93</v>
      </c>
      <c r="P51" s="1" t="s">
        <v>64</v>
      </c>
      <c r="Q51" t="str">
        <f>VLOOKUP(S51,'Sports Details'!$B$1:$C$33,2,0)</f>
        <v>INDOOR</v>
      </c>
      <c r="R51" t="str">
        <f t="shared" si="3"/>
        <v>Indoor</v>
      </c>
      <c r="S51" s="1" t="s">
        <v>236</v>
      </c>
      <c r="T51" s="1" t="s">
        <v>237</v>
      </c>
      <c r="U51" s="1">
        <f t="shared" si="4"/>
        <v>20530</v>
      </c>
    </row>
  </sheetData>
  <autoFilter ref="A1:U5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8BE1-45DF-477F-8670-62E516430077}">
  <sheetPr>
    <outlinePr summaryBelow="0" summaryRight="0"/>
  </sheetPr>
  <dimension ref="A1:N51"/>
  <sheetViews>
    <sheetView zoomScale="70" zoomScaleNormal="70" workbookViewId="0">
      <selection activeCell="O7" sqref="O7"/>
    </sheetView>
  </sheetViews>
  <sheetFormatPr defaultColWidth="12.6328125" defaultRowHeight="15.75" customHeight="1" x14ac:dyDescent="0.25"/>
  <cols>
    <col min="1" max="1" width="18.90625" bestFit="1" customWidth="1"/>
    <col min="2" max="2" width="23.7265625" customWidth="1"/>
    <col min="3" max="3" width="17.7265625" bestFit="1" customWidth="1"/>
    <col min="4" max="4" width="14.36328125" bestFit="1" customWidth="1"/>
    <col min="5" max="5" width="15.26953125" bestFit="1" customWidth="1"/>
    <col min="6" max="6" width="22" bestFit="1" customWidth="1"/>
    <col min="7" max="7" width="23.26953125" bestFit="1" customWidth="1"/>
    <col min="8" max="8" width="18.54296875" bestFit="1" customWidth="1"/>
    <col min="9" max="9" width="27.1796875" bestFit="1" customWidth="1"/>
    <col min="10" max="10" width="14.7265625" bestFit="1" customWidth="1"/>
    <col min="11" max="11" width="20.26953125" bestFit="1" customWidth="1"/>
    <col min="12" max="12" width="23.6328125" bestFit="1" customWidth="1"/>
    <col min="13" max="13" width="22.6328125" bestFit="1" customWidth="1"/>
    <col min="14" max="14" width="19.36328125" customWidth="1"/>
  </cols>
  <sheetData>
    <row r="1" spans="1:14" ht="16" customHeight="1" x14ac:dyDescent="0.3">
      <c r="A1" s="10" t="s">
        <v>0</v>
      </c>
      <c r="B1" s="10" t="s">
        <v>1</v>
      </c>
      <c r="C1" s="10" t="s">
        <v>382</v>
      </c>
      <c r="D1" s="10" t="s">
        <v>7</v>
      </c>
      <c r="E1" s="10" t="s">
        <v>8</v>
      </c>
      <c r="F1" s="10" t="s">
        <v>440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259</v>
      </c>
      <c r="L1" s="10" t="s">
        <v>14</v>
      </c>
      <c r="M1" s="10" t="s">
        <v>15</v>
      </c>
      <c r="N1" s="10" t="s">
        <v>425</v>
      </c>
    </row>
    <row r="2" spans="1:14" ht="16" customHeight="1" x14ac:dyDescent="0.25">
      <c r="A2" s="1" t="s">
        <v>260</v>
      </c>
      <c r="B2" t="s">
        <v>310</v>
      </c>
      <c r="C2" s="1">
        <v>1997</v>
      </c>
      <c r="D2" s="1" t="s">
        <v>20</v>
      </c>
      <c r="E2" s="1" t="s">
        <v>21</v>
      </c>
      <c r="F2" s="1" t="s">
        <v>22</v>
      </c>
      <c r="G2" t="s">
        <v>245</v>
      </c>
      <c r="H2" t="s">
        <v>238</v>
      </c>
      <c r="I2" s="11" t="s">
        <v>332</v>
      </c>
      <c r="J2" s="1">
        <v>94</v>
      </c>
      <c r="K2" s="1" t="s">
        <v>23</v>
      </c>
      <c r="L2" t="s">
        <v>438</v>
      </c>
      <c r="M2" s="1" t="s">
        <v>24</v>
      </c>
      <c r="N2" s="1">
        <v>80730</v>
      </c>
    </row>
    <row r="3" spans="1:14" ht="16" customHeight="1" x14ac:dyDescent="0.25">
      <c r="A3" s="1" t="s">
        <v>261</v>
      </c>
      <c r="B3" t="s">
        <v>311</v>
      </c>
      <c r="C3" s="1">
        <v>1992</v>
      </c>
      <c r="D3" s="1" t="s">
        <v>28</v>
      </c>
      <c r="E3" s="1" t="s">
        <v>21</v>
      </c>
      <c r="F3" s="1" t="s">
        <v>22</v>
      </c>
      <c r="G3" t="s">
        <v>245</v>
      </c>
      <c r="H3" t="s">
        <v>238</v>
      </c>
      <c r="I3" s="11" t="s">
        <v>333</v>
      </c>
      <c r="J3" s="1">
        <v>84</v>
      </c>
      <c r="K3" s="1" t="s">
        <v>29</v>
      </c>
      <c r="L3" t="s">
        <v>438</v>
      </c>
      <c r="M3" s="1" t="s">
        <v>30</v>
      </c>
      <c r="N3" s="1">
        <v>87470</v>
      </c>
    </row>
    <row r="4" spans="1:14" ht="16" customHeight="1" x14ac:dyDescent="0.25">
      <c r="A4" s="1" t="s">
        <v>262</v>
      </c>
      <c r="B4" t="s">
        <v>384</v>
      </c>
      <c r="C4" s="1">
        <v>1969</v>
      </c>
      <c r="D4" s="1" t="s">
        <v>35</v>
      </c>
      <c r="E4" s="1" t="s">
        <v>36</v>
      </c>
      <c r="F4" s="1" t="s">
        <v>37</v>
      </c>
      <c r="G4" t="s">
        <v>246</v>
      </c>
      <c r="H4" t="s">
        <v>239</v>
      </c>
      <c r="I4" s="11" t="s">
        <v>334</v>
      </c>
      <c r="J4" s="1">
        <v>53</v>
      </c>
      <c r="K4" s="1" t="s">
        <v>23</v>
      </c>
      <c r="L4" t="s">
        <v>439</v>
      </c>
      <c r="M4" s="1" t="s">
        <v>38</v>
      </c>
      <c r="N4" s="1">
        <v>64720</v>
      </c>
    </row>
    <row r="5" spans="1:14" ht="16" customHeight="1" x14ac:dyDescent="0.25">
      <c r="A5" s="1" t="s">
        <v>263</v>
      </c>
      <c r="B5" t="s">
        <v>312</v>
      </c>
      <c r="C5" s="1">
        <v>1975</v>
      </c>
      <c r="D5" s="1" t="s">
        <v>42</v>
      </c>
      <c r="E5" s="1" t="s">
        <v>21</v>
      </c>
      <c r="F5" s="1" t="s">
        <v>22</v>
      </c>
      <c r="G5" t="s">
        <v>245</v>
      </c>
      <c r="H5" t="s">
        <v>238</v>
      </c>
      <c r="I5" s="11" t="s">
        <v>335</v>
      </c>
      <c r="J5" s="1">
        <v>49</v>
      </c>
      <c r="K5" s="1" t="s">
        <v>29</v>
      </c>
      <c r="L5" t="s">
        <v>439</v>
      </c>
      <c r="M5" s="1" t="s">
        <v>43</v>
      </c>
      <c r="N5" s="1">
        <v>110800</v>
      </c>
    </row>
    <row r="6" spans="1:14" ht="16" customHeight="1" x14ac:dyDescent="0.25">
      <c r="A6" s="1" t="s">
        <v>264</v>
      </c>
      <c r="B6" t="s">
        <v>313</v>
      </c>
      <c r="C6" s="1">
        <v>1970</v>
      </c>
      <c r="D6" s="1" t="s">
        <v>42</v>
      </c>
      <c r="E6" s="1" t="s">
        <v>36</v>
      </c>
      <c r="F6" s="1" t="s">
        <v>22</v>
      </c>
      <c r="G6" t="s">
        <v>245</v>
      </c>
      <c r="H6" t="s">
        <v>238</v>
      </c>
      <c r="I6" s="11" t="s">
        <v>336</v>
      </c>
      <c r="J6" s="1">
        <v>85</v>
      </c>
      <c r="K6" s="1" t="s">
        <v>48</v>
      </c>
      <c r="L6" t="s">
        <v>438</v>
      </c>
      <c r="M6" s="1" t="s">
        <v>49</v>
      </c>
      <c r="N6" s="1">
        <v>56920</v>
      </c>
    </row>
    <row r="7" spans="1:14" ht="16" customHeight="1" x14ac:dyDescent="0.25">
      <c r="A7" s="1" t="s">
        <v>265</v>
      </c>
      <c r="B7" t="s">
        <v>314</v>
      </c>
      <c r="C7" s="1">
        <v>1992</v>
      </c>
      <c r="D7" s="1" t="s">
        <v>54</v>
      </c>
      <c r="E7" s="1" t="s">
        <v>36</v>
      </c>
      <c r="F7" s="1" t="s">
        <v>22</v>
      </c>
      <c r="G7" t="s">
        <v>245</v>
      </c>
      <c r="H7" t="s">
        <v>238</v>
      </c>
      <c r="I7" s="11" t="s">
        <v>337</v>
      </c>
      <c r="J7" s="1">
        <v>83</v>
      </c>
      <c r="K7" s="1" t="s">
        <v>29</v>
      </c>
      <c r="L7" t="s">
        <v>438</v>
      </c>
      <c r="M7" s="1" t="s">
        <v>55</v>
      </c>
      <c r="N7" s="1">
        <v>51130</v>
      </c>
    </row>
    <row r="8" spans="1:14" ht="16" customHeight="1" x14ac:dyDescent="0.25">
      <c r="A8" s="1" t="s">
        <v>266</v>
      </c>
      <c r="B8" t="s">
        <v>315</v>
      </c>
      <c r="C8" s="1">
        <v>1999</v>
      </c>
      <c r="D8" s="1" t="s">
        <v>59</v>
      </c>
      <c r="E8" s="1" t="s">
        <v>21</v>
      </c>
      <c r="F8" s="1" t="s">
        <v>22</v>
      </c>
      <c r="G8" t="s">
        <v>245</v>
      </c>
      <c r="H8" t="s">
        <v>238</v>
      </c>
      <c r="I8" s="11" t="s">
        <v>338</v>
      </c>
      <c r="J8" s="1">
        <v>61</v>
      </c>
      <c r="K8" s="1" t="s">
        <v>48</v>
      </c>
      <c r="L8" t="s">
        <v>439</v>
      </c>
      <c r="M8" s="1" t="s">
        <v>60</v>
      </c>
      <c r="N8" s="1">
        <v>65470</v>
      </c>
    </row>
    <row r="9" spans="1:14" ht="16" customHeight="1" x14ac:dyDescent="0.25">
      <c r="A9" s="1" t="s">
        <v>267</v>
      </c>
      <c r="B9" t="s">
        <v>316</v>
      </c>
      <c r="C9" s="1">
        <v>1963</v>
      </c>
      <c r="D9" s="1" t="s">
        <v>42</v>
      </c>
      <c r="E9" s="1" t="s">
        <v>36</v>
      </c>
      <c r="F9" s="1" t="s">
        <v>22</v>
      </c>
      <c r="G9" t="s">
        <v>245</v>
      </c>
      <c r="H9" t="s">
        <v>238</v>
      </c>
      <c r="I9" s="11" t="s">
        <v>339</v>
      </c>
      <c r="J9" s="1">
        <v>106</v>
      </c>
      <c r="K9" s="1" t="s">
        <v>64</v>
      </c>
      <c r="L9" t="s">
        <v>438</v>
      </c>
      <c r="M9" s="1" t="s">
        <v>65</v>
      </c>
      <c r="N9" s="1">
        <v>109900</v>
      </c>
    </row>
    <row r="10" spans="1:14" ht="16" customHeight="1" x14ac:dyDescent="0.25">
      <c r="A10" s="1" t="s">
        <v>268</v>
      </c>
      <c r="B10" t="s">
        <v>317</v>
      </c>
      <c r="C10" s="1">
        <v>1971</v>
      </c>
      <c r="D10" s="1" t="s">
        <v>28</v>
      </c>
      <c r="E10" s="1" t="s">
        <v>21</v>
      </c>
      <c r="F10" s="1" t="s">
        <v>69</v>
      </c>
      <c r="G10" t="s">
        <v>247</v>
      </c>
      <c r="H10" t="s">
        <v>238</v>
      </c>
      <c r="I10" s="11" t="s">
        <v>340</v>
      </c>
      <c r="J10" s="1">
        <v>65</v>
      </c>
      <c r="K10" s="1" t="s">
        <v>64</v>
      </c>
      <c r="L10" t="s">
        <v>438</v>
      </c>
      <c r="M10" s="1" t="s">
        <v>70</v>
      </c>
      <c r="N10" s="1">
        <v>60060</v>
      </c>
    </row>
    <row r="11" spans="1:14" ht="16" customHeight="1" x14ac:dyDescent="0.25">
      <c r="A11" s="1" t="s">
        <v>269</v>
      </c>
      <c r="B11" t="s">
        <v>318</v>
      </c>
      <c r="C11" s="1">
        <v>1964</v>
      </c>
      <c r="D11" s="1" t="s">
        <v>54</v>
      </c>
      <c r="E11" s="1" t="s">
        <v>36</v>
      </c>
      <c r="F11" s="1" t="s">
        <v>69</v>
      </c>
      <c r="G11" t="s">
        <v>247</v>
      </c>
      <c r="H11" t="s">
        <v>238</v>
      </c>
      <c r="I11" s="11" t="s">
        <v>341</v>
      </c>
      <c r="J11" s="1">
        <v>63</v>
      </c>
      <c r="K11" s="1" t="s">
        <v>74</v>
      </c>
      <c r="L11" t="s">
        <v>439</v>
      </c>
      <c r="M11" s="1" t="s">
        <v>60</v>
      </c>
      <c r="N11" s="1">
        <v>32759.999999999996</v>
      </c>
    </row>
    <row r="12" spans="1:14" ht="16" customHeight="1" x14ac:dyDescent="0.25">
      <c r="A12" s="1" t="s">
        <v>270</v>
      </c>
      <c r="B12" t="s">
        <v>319</v>
      </c>
      <c r="C12" s="1">
        <v>1986</v>
      </c>
      <c r="D12" s="1" t="s">
        <v>79</v>
      </c>
      <c r="E12" s="1" t="s">
        <v>36</v>
      </c>
      <c r="F12" s="1" t="s">
        <v>69</v>
      </c>
      <c r="G12" t="s">
        <v>247</v>
      </c>
      <c r="H12" t="s">
        <v>238</v>
      </c>
      <c r="I12" s="11" t="s">
        <v>342</v>
      </c>
      <c r="J12" s="1">
        <v>104</v>
      </c>
      <c r="K12" s="1" t="s">
        <v>74</v>
      </c>
      <c r="L12" t="s">
        <v>439</v>
      </c>
      <c r="M12" s="1" t="s">
        <v>80</v>
      </c>
      <c r="N12" s="1">
        <v>99610</v>
      </c>
    </row>
    <row r="13" spans="1:14" ht="16" customHeight="1" x14ac:dyDescent="0.25">
      <c r="A13" s="1" t="s">
        <v>271</v>
      </c>
      <c r="B13" t="s">
        <v>320</v>
      </c>
      <c r="C13" s="1">
        <v>1977</v>
      </c>
      <c r="D13" s="1" t="s">
        <v>20</v>
      </c>
      <c r="E13" s="1" t="s">
        <v>21</v>
      </c>
      <c r="F13" s="1" t="s">
        <v>69</v>
      </c>
      <c r="G13" t="s">
        <v>247</v>
      </c>
      <c r="H13" t="s">
        <v>238</v>
      </c>
      <c r="I13" s="11" t="s">
        <v>343</v>
      </c>
      <c r="J13" s="1">
        <v>101</v>
      </c>
      <c r="K13" s="1" t="s">
        <v>74</v>
      </c>
      <c r="L13" t="s">
        <v>439</v>
      </c>
      <c r="M13" s="1" t="s">
        <v>85</v>
      </c>
      <c r="N13" s="1">
        <v>56600</v>
      </c>
    </row>
    <row r="14" spans="1:14" ht="16" customHeight="1" x14ac:dyDescent="0.25">
      <c r="A14" s="1" t="s">
        <v>272</v>
      </c>
      <c r="B14" t="s">
        <v>321</v>
      </c>
      <c r="C14" s="1">
        <v>1977</v>
      </c>
      <c r="D14" s="1" t="s">
        <v>28</v>
      </c>
      <c r="E14" s="1" t="s">
        <v>21</v>
      </c>
      <c r="F14" s="1" t="s">
        <v>69</v>
      </c>
      <c r="G14" t="s">
        <v>247</v>
      </c>
      <c r="H14" t="s">
        <v>238</v>
      </c>
      <c r="I14" s="11" t="s">
        <v>344</v>
      </c>
      <c r="J14" s="1">
        <v>71</v>
      </c>
      <c r="K14" s="1" t="s">
        <v>23</v>
      </c>
      <c r="L14" t="s">
        <v>439</v>
      </c>
      <c r="M14" s="1" t="s">
        <v>89</v>
      </c>
      <c r="N14" s="1">
        <v>117400</v>
      </c>
    </row>
    <row r="15" spans="1:14" ht="16" customHeight="1" x14ac:dyDescent="0.25">
      <c r="A15" s="1" t="s">
        <v>273</v>
      </c>
      <c r="B15" t="s">
        <v>385</v>
      </c>
      <c r="C15" s="1">
        <v>1959</v>
      </c>
      <c r="D15" s="1" t="s">
        <v>93</v>
      </c>
      <c r="E15" s="1" t="s">
        <v>36</v>
      </c>
      <c r="F15" s="1" t="s">
        <v>94</v>
      </c>
      <c r="G15" t="s">
        <v>248</v>
      </c>
      <c r="H15" t="s">
        <v>240</v>
      </c>
      <c r="I15" s="11" t="s">
        <v>345</v>
      </c>
      <c r="J15" s="1">
        <v>68</v>
      </c>
      <c r="K15" s="1" t="s">
        <v>64</v>
      </c>
      <c r="L15" t="s">
        <v>439</v>
      </c>
      <c r="M15" s="1" t="s">
        <v>95</v>
      </c>
      <c r="N15" s="1">
        <v>64860</v>
      </c>
    </row>
    <row r="16" spans="1:14" ht="16" customHeight="1" x14ac:dyDescent="0.25">
      <c r="A16" s="1" t="s">
        <v>274</v>
      </c>
      <c r="B16" t="s">
        <v>322</v>
      </c>
      <c r="C16" s="1">
        <v>1965</v>
      </c>
      <c r="D16" s="1" t="s">
        <v>100</v>
      </c>
      <c r="E16" s="1" t="s">
        <v>21</v>
      </c>
      <c r="F16" s="1" t="s">
        <v>94</v>
      </c>
      <c r="G16" t="s">
        <v>248</v>
      </c>
      <c r="H16" t="s">
        <v>240</v>
      </c>
      <c r="I16" s="11" t="s">
        <v>346</v>
      </c>
      <c r="J16" s="1">
        <v>105</v>
      </c>
      <c r="K16" s="1" t="s">
        <v>74</v>
      </c>
      <c r="L16" t="s">
        <v>438</v>
      </c>
      <c r="M16" s="1" t="s">
        <v>101</v>
      </c>
      <c r="N16" s="1">
        <v>10240</v>
      </c>
    </row>
    <row r="17" spans="1:14" ht="16" customHeight="1" x14ac:dyDescent="0.25">
      <c r="A17" s="1" t="s">
        <v>275</v>
      </c>
      <c r="B17" t="s">
        <v>386</v>
      </c>
      <c r="C17" s="1">
        <v>1969</v>
      </c>
      <c r="D17" s="1" t="s">
        <v>35</v>
      </c>
      <c r="E17" s="1" t="s">
        <v>36</v>
      </c>
      <c r="F17" s="1" t="s">
        <v>94</v>
      </c>
      <c r="G17" t="s">
        <v>248</v>
      </c>
      <c r="H17" t="s">
        <v>240</v>
      </c>
      <c r="I17" s="11" t="s">
        <v>347</v>
      </c>
      <c r="J17" s="1">
        <v>49</v>
      </c>
      <c r="K17" s="1" t="s">
        <v>74</v>
      </c>
      <c r="L17" t="s">
        <v>439</v>
      </c>
      <c r="M17" s="1" t="s">
        <v>43</v>
      </c>
      <c r="N17" s="1">
        <v>88760</v>
      </c>
    </row>
    <row r="18" spans="1:14" ht="16" customHeight="1" x14ac:dyDescent="0.25">
      <c r="A18" s="1" t="s">
        <v>276</v>
      </c>
      <c r="B18" t="s">
        <v>387</v>
      </c>
      <c r="C18" s="1">
        <v>1972</v>
      </c>
      <c r="D18" s="1" t="s">
        <v>20</v>
      </c>
      <c r="E18" s="1" t="s">
        <v>36</v>
      </c>
      <c r="F18" s="1" t="s">
        <v>94</v>
      </c>
      <c r="G18" t="s">
        <v>248</v>
      </c>
      <c r="H18" t="s">
        <v>240</v>
      </c>
      <c r="I18" s="11" t="s">
        <v>348</v>
      </c>
      <c r="J18" s="1">
        <v>106</v>
      </c>
      <c r="K18" s="1" t="s">
        <v>23</v>
      </c>
      <c r="L18" t="s">
        <v>438</v>
      </c>
      <c r="M18" s="1" t="s">
        <v>108</v>
      </c>
      <c r="N18" s="1">
        <v>80760</v>
      </c>
    </row>
    <row r="19" spans="1:14" ht="16" customHeight="1" x14ac:dyDescent="0.25">
      <c r="A19" s="1" t="s">
        <v>277</v>
      </c>
      <c r="B19" t="s">
        <v>388</v>
      </c>
      <c r="C19" s="1">
        <v>1959</v>
      </c>
      <c r="D19" s="1" t="s">
        <v>93</v>
      </c>
      <c r="E19" s="1" t="s">
        <v>36</v>
      </c>
      <c r="F19" s="1" t="s">
        <v>94</v>
      </c>
      <c r="G19" t="s">
        <v>248</v>
      </c>
      <c r="H19" t="s">
        <v>240</v>
      </c>
      <c r="I19" s="11" t="s">
        <v>349</v>
      </c>
      <c r="J19" s="1">
        <v>71</v>
      </c>
      <c r="K19" s="1" t="s">
        <v>23</v>
      </c>
      <c r="L19" t="s">
        <v>439</v>
      </c>
      <c r="M19" s="1" t="s">
        <v>112</v>
      </c>
      <c r="N19" s="1">
        <v>88790</v>
      </c>
    </row>
    <row r="20" spans="1:14" ht="16" customHeight="1" x14ac:dyDescent="0.25">
      <c r="A20" s="1" t="s">
        <v>278</v>
      </c>
      <c r="B20" t="s">
        <v>323</v>
      </c>
      <c r="C20" s="1">
        <v>1977</v>
      </c>
      <c r="D20" s="1" t="s">
        <v>42</v>
      </c>
      <c r="E20" s="1" t="s">
        <v>21</v>
      </c>
      <c r="F20" s="1" t="s">
        <v>116</v>
      </c>
      <c r="G20" t="s">
        <v>249</v>
      </c>
      <c r="H20" t="s">
        <v>238</v>
      </c>
      <c r="I20" s="11" t="s">
        <v>350</v>
      </c>
      <c r="J20" s="1">
        <v>70</v>
      </c>
      <c r="K20" s="1" t="s">
        <v>64</v>
      </c>
      <c r="L20" t="s">
        <v>438</v>
      </c>
      <c r="M20" s="1" t="s">
        <v>117</v>
      </c>
      <c r="N20" s="1">
        <v>63530</v>
      </c>
    </row>
    <row r="21" spans="1:14" ht="16" customHeight="1" x14ac:dyDescent="0.25">
      <c r="A21" s="1" t="s">
        <v>279</v>
      </c>
      <c r="B21" t="s">
        <v>324</v>
      </c>
      <c r="C21" s="1">
        <v>1976</v>
      </c>
      <c r="D21" s="1" t="s">
        <v>121</v>
      </c>
      <c r="E21" s="1" t="s">
        <v>36</v>
      </c>
      <c r="F21" s="1" t="s">
        <v>116</v>
      </c>
      <c r="G21" t="s">
        <v>249</v>
      </c>
      <c r="H21" t="s">
        <v>238</v>
      </c>
      <c r="I21" s="11" t="s">
        <v>351</v>
      </c>
      <c r="J21" s="1">
        <v>55</v>
      </c>
      <c r="K21" s="1" t="s">
        <v>29</v>
      </c>
      <c r="L21" t="s">
        <v>438</v>
      </c>
      <c r="M21" s="1" t="s">
        <v>122</v>
      </c>
      <c r="N21" s="1">
        <v>46350</v>
      </c>
    </row>
    <row r="22" spans="1:14" ht="16" customHeight="1" x14ac:dyDescent="0.25">
      <c r="A22" s="1" t="s">
        <v>280</v>
      </c>
      <c r="B22" t="s">
        <v>325</v>
      </c>
      <c r="C22" s="1">
        <v>1996</v>
      </c>
      <c r="D22" s="1" t="s">
        <v>35</v>
      </c>
      <c r="E22" s="1" t="s">
        <v>36</v>
      </c>
      <c r="F22" s="1" t="s">
        <v>116</v>
      </c>
      <c r="G22" t="s">
        <v>249</v>
      </c>
      <c r="H22" t="s">
        <v>238</v>
      </c>
      <c r="I22" s="11" t="s">
        <v>352</v>
      </c>
      <c r="J22" s="1">
        <v>101</v>
      </c>
      <c r="K22" s="1" t="s">
        <v>48</v>
      </c>
      <c r="L22" t="s">
        <v>439</v>
      </c>
      <c r="M22" s="1" t="s">
        <v>126</v>
      </c>
      <c r="N22" s="1">
        <v>106800</v>
      </c>
    </row>
    <row r="23" spans="1:14" ht="16" customHeight="1" x14ac:dyDescent="0.25">
      <c r="A23" s="1" t="s">
        <v>281</v>
      </c>
      <c r="B23" t="s">
        <v>326</v>
      </c>
      <c r="C23" s="1">
        <v>1964</v>
      </c>
      <c r="D23" s="1" t="s">
        <v>130</v>
      </c>
      <c r="E23" s="1" t="s">
        <v>21</v>
      </c>
      <c r="F23" s="1" t="s">
        <v>116</v>
      </c>
      <c r="G23" t="s">
        <v>249</v>
      </c>
      <c r="H23" t="s">
        <v>238</v>
      </c>
      <c r="I23" s="11" t="s">
        <v>353</v>
      </c>
      <c r="J23" s="1">
        <v>84</v>
      </c>
      <c r="K23" s="1" t="s">
        <v>64</v>
      </c>
      <c r="L23" t="s">
        <v>439</v>
      </c>
      <c r="M23" s="1" t="s">
        <v>131</v>
      </c>
      <c r="N23" s="1">
        <v>96470</v>
      </c>
    </row>
    <row r="24" spans="1:14" ht="16" customHeight="1" x14ac:dyDescent="0.25">
      <c r="A24" s="1" t="s">
        <v>282</v>
      </c>
      <c r="B24" t="s">
        <v>327</v>
      </c>
      <c r="C24" s="1">
        <v>1955</v>
      </c>
      <c r="D24" s="1" t="s">
        <v>54</v>
      </c>
      <c r="E24" s="1" t="s">
        <v>21</v>
      </c>
      <c r="F24" s="1" t="s">
        <v>116</v>
      </c>
      <c r="G24" t="s">
        <v>249</v>
      </c>
      <c r="H24" t="s">
        <v>238</v>
      </c>
      <c r="I24" s="11" t="s">
        <v>354</v>
      </c>
      <c r="J24" s="1">
        <v>67</v>
      </c>
      <c r="K24" s="1" t="s">
        <v>74</v>
      </c>
      <c r="L24" t="s">
        <v>439</v>
      </c>
      <c r="M24" s="1" t="s">
        <v>135</v>
      </c>
      <c r="N24" s="1">
        <v>16530</v>
      </c>
    </row>
    <row r="25" spans="1:14" ht="16" customHeight="1" x14ac:dyDescent="0.25">
      <c r="A25" s="1" t="s">
        <v>283</v>
      </c>
      <c r="B25" t="s">
        <v>328</v>
      </c>
      <c r="C25" s="1">
        <v>1999</v>
      </c>
      <c r="D25" s="1" t="s">
        <v>93</v>
      </c>
      <c r="E25" s="1" t="s">
        <v>21</v>
      </c>
      <c r="F25" s="1" t="s">
        <v>116</v>
      </c>
      <c r="G25" t="s">
        <v>249</v>
      </c>
      <c r="H25" t="s">
        <v>238</v>
      </c>
      <c r="I25" s="11" t="s">
        <v>355</v>
      </c>
      <c r="J25" s="1">
        <v>59</v>
      </c>
      <c r="K25" s="1" t="s">
        <v>48</v>
      </c>
      <c r="L25" t="s">
        <v>439</v>
      </c>
      <c r="M25" s="1" t="s">
        <v>139</v>
      </c>
      <c r="N25" s="1">
        <v>21890</v>
      </c>
    </row>
    <row r="26" spans="1:14" ht="16" customHeight="1" x14ac:dyDescent="0.25">
      <c r="A26" s="1" t="s">
        <v>284</v>
      </c>
      <c r="B26" t="s">
        <v>329</v>
      </c>
      <c r="C26" s="1">
        <v>1966</v>
      </c>
      <c r="D26" s="1" t="s">
        <v>35</v>
      </c>
      <c r="E26" s="1" t="s">
        <v>21</v>
      </c>
      <c r="F26" s="1" t="s">
        <v>116</v>
      </c>
      <c r="G26" t="s">
        <v>249</v>
      </c>
      <c r="H26" t="s">
        <v>238</v>
      </c>
      <c r="I26" s="11" t="s">
        <v>356</v>
      </c>
      <c r="J26" s="1">
        <v>78</v>
      </c>
      <c r="K26" s="1" t="s">
        <v>64</v>
      </c>
      <c r="L26" t="s">
        <v>439</v>
      </c>
      <c r="M26" s="1" t="s">
        <v>60</v>
      </c>
      <c r="N26" s="1">
        <v>62040</v>
      </c>
    </row>
    <row r="27" spans="1:14" ht="16" customHeight="1" x14ac:dyDescent="0.25">
      <c r="A27" s="1" t="s">
        <v>285</v>
      </c>
      <c r="B27" t="s">
        <v>330</v>
      </c>
      <c r="C27" s="1">
        <v>1978</v>
      </c>
      <c r="D27" s="1" t="s">
        <v>130</v>
      </c>
      <c r="E27" s="1" t="s">
        <v>21</v>
      </c>
      <c r="F27" s="1" t="s">
        <v>116</v>
      </c>
      <c r="G27" t="s">
        <v>249</v>
      </c>
      <c r="H27" t="s">
        <v>238</v>
      </c>
      <c r="I27" s="11" t="s">
        <v>357</v>
      </c>
      <c r="J27" s="1">
        <v>86</v>
      </c>
      <c r="K27" s="1" t="s">
        <v>146</v>
      </c>
      <c r="L27" t="s">
        <v>438</v>
      </c>
      <c r="M27" s="1" t="s">
        <v>24</v>
      </c>
      <c r="N27" s="1">
        <v>89740</v>
      </c>
    </row>
    <row r="28" spans="1:14" ht="16" customHeight="1" x14ac:dyDescent="0.25">
      <c r="A28" s="1" t="s">
        <v>286</v>
      </c>
      <c r="B28" t="s">
        <v>389</v>
      </c>
      <c r="C28" s="1">
        <v>1970</v>
      </c>
      <c r="D28" s="1" t="s">
        <v>35</v>
      </c>
      <c r="E28" s="1" t="s">
        <v>36</v>
      </c>
      <c r="F28" s="1" t="s">
        <v>150</v>
      </c>
      <c r="G28" t="s">
        <v>250</v>
      </c>
      <c r="H28" t="s">
        <v>240</v>
      </c>
      <c r="I28" s="11" t="s">
        <v>358</v>
      </c>
      <c r="J28" s="1">
        <v>93</v>
      </c>
      <c r="K28" s="1" t="s">
        <v>146</v>
      </c>
      <c r="L28" t="s">
        <v>438</v>
      </c>
      <c r="M28" s="1" t="s">
        <v>151</v>
      </c>
      <c r="N28" s="1">
        <v>41040</v>
      </c>
    </row>
    <row r="29" spans="1:14" ht="16" customHeight="1" x14ac:dyDescent="0.25">
      <c r="A29" s="1" t="s">
        <v>287</v>
      </c>
      <c r="B29" t="s">
        <v>390</v>
      </c>
      <c r="C29" s="1">
        <v>1982</v>
      </c>
      <c r="D29" s="1" t="s">
        <v>100</v>
      </c>
      <c r="E29" s="1" t="s">
        <v>36</v>
      </c>
      <c r="F29" s="1" t="s">
        <v>150</v>
      </c>
      <c r="G29" t="s">
        <v>250</v>
      </c>
      <c r="H29" t="s">
        <v>240</v>
      </c>
      <c r="I29" s="11" t="s">
        <v>359</v>
      </c>
      <c r="J29" s="1">
        <v>96</v>
      </c>
      <c r="K29" s="1" t="s">
        <v>29</v>
      </c>
      <c r="L29" t="s">
        <v>439</v>
      </c>
      <c r="M29" s="1" t="s">
        <v>89</v>
      </c>
      <c r="N29" s="1">
        <v>28460</v>
      </c>
    </row>
    <row r="30" spans="1:14" ht="16" customHeight="1" x14ac:dyDescent="0.25">
      <c r="A30" s="1" t="s">
        <v>288</v>
      </c>
      <c r="B30" t="s">
        <v>331</v>
      </c>
      <c r="C30" s="1">
        <v>1994</v>
      </c>
      <c r="D30" s="1" t="s">
        <v>28</v>
      </c>
      <c r="E30" s="1" t="s">
        <v>21</v>
      </c>
      <c r="F30" s="1" t="s">
        <v>150</v>
      </c>
      <c r="G30" t="s">
        <v>250</v>
      </c>
      <c r="H30" t="s">
        <v>240</v>
      </c>
      <c r="I30" s="11" t="s">
        <v>360</v>
      </c>
      <c r="J30" s="1">
        <v>52</v>
      </c>
      <c r="K30" s="1" t="s">
        <v>74</v>
      </c>
      <c r="L30" t="s">
        <v>439</v>
      </c>
      <c r="M30" s="1" t="s">
        <v>60</v>
      </c>
      <c r="N30" s="1">
        <v>55010</v>
      </c>
    </row>
    <row r="31" spans="1:14" ht="16" customHeight="1" x14ac:dyDescent="0.25">
      <c r="A31" s="1" t="s">
        <v>289</v>
      </c>
      <c r="B31" t="s">
        <v>391</v>
      </c>
      <c r="C31" s="1">
        <v>1979</v>
      </c>
      <c r="D31" s="1" t="s">
        <v>20</v>
      </c>
      <c r="E31" s="1" t="s">
        <v>21</v>
      </c>
      <c r="F31" s="1" t="s">
        <v>161</v>
      </c>
      <c r="G31" t="s">
        <v>251</v>
      </c>
      <c r="H31" t="s">
        <v>241</v>
      </c>
      <c r="I31" s="11" t="s">
        <v>361</v>
      </c>
      <c r="J31" s="1">
        <v>75</v>
      </c>
      <c r="K31" s="1" t="s">
        <v>146</v>
      </c>
      <c r="L31" t="s">
        <v>439</v>
      </c>
      <c r="M31" s="1" t="s">
        <v>162</v>
      </c>
      <c r="N31" s="1">
        <v>69040</v>
      </c>
    </row>
    <row r="32" spans="1:14" ht="16" customHeight="1" x14ac:dyDescent="0.25">
      <c r="A32" s="1" t="s">
        <v>290</v>
      </c>
      <c r="B32" t="s">
        <v>392</v>
      </c>
      <c r="C32" s="1">
        <v>1989</v>
      </c>
      <c r="D32" s="1" t="s">
        <v>121</v>
      </c>
      <c r="E32" s="1" t="s">
        <v>21</v>
      </c>
      <c r="F32" s="1" t="s">
        <v>161</v>
      </c>
      <c r="G32" t="s">
        <v>251</v>
      </c>
      <c r="H32" t="s">
        <v>241</v>
      </c>
      <c r="I32" s="11" t="s">
        <v>362</v>
      </c>
      <c r="J32" s="1">
        <v>82</v>
      </c>
      <c r="K32" s="1" t="s">
        <v>29</v>
      </c>
      <c r="L32" t="s">
        <v>438</v>
      </c>
      <c r="M32" s="1" t="s">
        <v>151</v>
      </c>
      <c r="N32" s="1">
        <v>86260</v>
      </c>
    </row>
    <row r="33" spans="1:14" ht="16" customHeight="1" x14ac:dyDescent="0.25">
      <c r="A33" s="1" t="s">
        <v>291</v>
      </c>
      <c r="B33" t="s">
        <v>393</v>
      </c>
      <c r="C33" s="1">
        <v>1970</v>
      </c>
      <c r="D33" s="1" t="s">
        <v>121</v>
      </c>
      <c r="E33" s="1" t="s">
        <v>21</v>
      </c>
      <c r="F33" s="1" t="s">
        <v>161</v>
      </c>
      <c r="G33" t="s">
        <v>251</v>
      </c>
      <c r="H33" t="s">
        <v>241</v>
      </c>
      <c r="I33" s="11" t="s">
        <v>363</v>
      </c>
      <c r="J33" s="1">
        <v>78</v>
      </c>
      <c r="K33" s="1" t="s">
        <v>74</v>
      </c>
      <c r="L33" t="s">
        <v>439</v>
      </c>
      <c r="M33" s="1" t="s">
        <v>135</v>
      </c>
      <c r="N33" s="1">
        <v>19230</v>
      </c>
    </row>
    <row r="34" spans="1:14" ht="16" customHeight="1" x14ac:dyDescent="0.25">
      <c r="A34" s="1" t="s">
        <v>292</v>
      </c>
      <c r="B34" t="s">
        <v>394</v>
      </c>
      <c r="C34" s="1">
        <v>1980</v>
      </c>
      <c r="D34" s="1" t="s">
        <v>79</v>
      </c>
      <c r="E34" s="1" t="s">
        <v>36</v>
      </c>
      <c r="F34" s="1" t="s">
        <v>161</v>
      </c>
      <c r="G34" t="s">
        <v>251</v>
      </c>
      <c r="H34" t="s">
        <v>241</v>
      </c>
      <c r="I34" s="11" t="s">
        <v>364</v>
      </c>
      <c r="J34" s="1">
        <v>57</v>
      </c>
      <c r="K34" s="1" t="s">
        <v>74</v>
      </c>
      <c r="L34" t="s">
        <v>438</v>
      </c>
      <c r="M34" s="1" t="s">
        <v>172</v>
      </c>
      <c r="N34" s="1">
        <v>95120</v>
      </c>
    </row>
    <row r="35" spans="1:14" ht="16" customHeight="1" x14ac:dyDescent="0.25">
      <c r="A35" s="1" t="s">
        <v>293</v>
      </c>
      <c r="B35" t="s">
        <v>395</v>
      </c>
      <c r="C35" s="1">
        <v>1981</v>
      </c>
      <c r="D35" s="1" t="s">
        <v>20</v>
      </c>
      <c r="E35" s="1" t="s">
        <v>36</v>
      </c>
      <c r="F35" s="1" t="s">
        <v>161</v>
      </c>
      <c r="G35" t="s">
        <v>251</v>
      </c>
      <c r="H35" t="s">
        <v>241</v>
      </c>
      <c r="I35" s="11" t="s">
        <v>365</v>
      </c>
      <c r="J35" s="1">
        <v>56</v>
      </c>
      <c r="K35" s="1" t="s">
        <v>146</v>
      </c>
      <c r="L35" t="s">
        <v>439</v>
      </c>
      <c r="M35" s="1" t="s">
        <v>126</v>
      </c>
      <c r="N35" s="1">
        <v>62760</v>
      </c>
    </row>
    <row r="36" spans="1:14" ht="16" customHeight="1" x14ac:dyDescent="0.25">
      <c r="A36" s="1" t="s">
        <v>294</v>
      </c>
      <c r="B36" t="s">
        <v>396</v>
      </c>
      <c r="C36" s="1">
        <v>1955</v>
      </c>
      <c r="D36" s="1" t="s">
        <v>59</v>
      </c>
      <c r="E36" s="1" t="s">
        <v>36</v>
      </c>
      <c r="F36" s="1" t="s">
        <v>161</v>
      </c>
      <c r="G36" t="s">
        <v>251</v>
      </c>
      <c r="H36" t="s">
        <v>241</v>
      </c>
      <c r="I36" s="11" t="s">
        <v>366</v>
      </c>
      <c r="J36" s="1">
        <v>89</v>
      </c>
      <c r="K36" s="1" t="s">
        <v>74</v>
      </c>
      <c r="L36" t="s">
        <v>439</v>
      </c>
      <c r="M36" s="1" t="s">
        <v>178</v>
      </c>
      <c r="N36" s="1">
        <v>108400</v>
      </c>
    </row>
    <row r="37" spans="1:14" ht="16" customHeight="1" x14ac:dyDescent="0.25">
      <c r="A37" s="1" t="s">
        <v>295</v>
      </c>
      <c r="B37" t="s">
        <v>397</v>
      </c>
      <c r="C37" s="1">
        <v>1975</v>
      </c>
      <c r="D37" s="1" t="s">
        <v>28</v>
      </c>
      <c r="E37" s="1" t="s">
        <v>36</v>
      </c>
      <c r="F37" s="1" t="s">
        <v>161</v>
      </c>
      <c r="G37" t="s">
        <v>251</v>
      </c>
      <c r="H37" t="s">
        <v>241</v>
      </c>
      <c r="I37" s="11" t="s">
        <v>367</v>
      </c>
      <c r="J37" s="1">
        <v>78</v>
      </c>
      <c r="K37" s="1" t="s">
        <v>29</v>
      </c>
      <c r="L37" t="s">
        <v>439</v>
      </c>
      <c r="M37" s="1" t="s">
        <v>126</v>
      </c>
      <c r="N37" s="1">
        <v>66270</v>
      </c>
    </row>
    <row r="38" spans="1:14" ht="16" customHeight="1" x14ac:dyDescent="0.25">
      <c r="A38" s="1" t="s">
        <v>296</v>
      </c>
      <c r="B38" t="s">
        <v>398</v>
      </c>
      <c r="C38" s="1">
        <v>1986</v>
      </c>
      <c r="D38" s="1" t="s">
        <v>35</v>
      </c>
      <c r="E38" s="1" t="s">
        <v>36</v>
      </c>
      <c r="F38" s="1" t="s">
        <v>161</v>
      </c>
      <c r="G38" t="s">
        <v>251</v>
      </c>
      <c r="H38" t="s">
        <v>241</v>
      </c>
      <c r="I38" s="11" t="s">
        <v>368</v>
      </c>
      <c r="J38" s="1">
        <v>96</v>
      </c>
      <c r="K38" s="1" t="s">
        <v>48</v>
      </c>
      <c r="L38" t="s">
        <v>439</v>
      </c>
      <c r="M38" s="1" t="s">
        <v>185</v>
      </c>
      <c r="N38" s="1">
        <v>33970</v>
      </c>
    </row>
    <row r="39" spans="1:14" ht="16" customHeight="1" x14ac:dyDescent="0.25">
      <c r="A39" s="1" t="s">
        <v>297</v>
      </c>
      <c r="B39" t="s">
        <v>399</v>
      </c>
      <c r="C39" s="1">
        <v>1983</v>
      </c>
      <c r="D39" s="1" t="s">
        <v>121</v>
      </c>
      <c r="E39" s="1" t="s">
        <v>36</v>
      </c>
      <c r="F39" s="1" t="s">
        <v>161</v>
      </c>
      <c r="G39" t="s">
        <v>251</v>
      </c>
      <c r="H39" t="s">
        <v>241</v>
      </c>
      <c r="I39" s="11" t="s">
        <v>369</v>
      </c>
      <c r="J39" s="1">
        <v>60</v>
      </c>
      <c r="K39" s="1" t="s">
        <v>29</v>
      </c>
      <c r="L39" t="s">
        <v>438</v>
      </c>
      <c r="M39" s="1" t="s">
        <v>24</v>
      </c>
      <c r="N39" s="1">
        <v>71350</v>
      </c>
    </row>
    <row r="40" spans="1:14" ht="16" customHeight="1" x14ac:dyDescent="0.25">
      <c r="A40" s="1" t="s">
        <v>298</v>
      </c>
      <c r="B40" t="s">
        <v>400</v>
      </c>
      <c r="C40" s="1">
        <v>1984</v>
      </c>
      <c r="D40" s="1" t="s">
        <v>54</v>
      </c>
      <c r="E40" s="1" t="s">
        <v>36</v>
      </c>
      <c r="F40" s="1" t="s">
        <v>193</v>
      </c>
      <c r="G40" t="s">
        <v>252</v>
      </c>
      <c r="H40" t="s">
        <v>242</v>
      </c>
      <c r="I40" s="11" t="s">
        <v>370</v>
      </c>
      <c r="J40" s="1">
        <v>78</v>
      </c>
      <c r="K40" s="1" t="s">
        <v>48</v>
      </c>
      <c r="L40" t="s">
        <v>439</v>
      </c>
      <c r="M40" s="1" t="s">
        <v>139</v>
      </c>
      <c r="N40" s="1">
        <v>116400</v>
      </c>
    </row>
    <row r="41" spans="1:14" ht="16" customHeight="1" x14ac:dyDescent="0.25">
      <c r="A41" s="1" t="s">
        <v>299</v>
      </c>
      <c r="B41" t="s">
        <v>401</v>
      </c>
      <c r="C41" s="1">
        <v>1988</v>
      </c>
      <c r="D41" s="1" t="s">
        <v>197</v>
      </c>
      <c r="E41" s="1" t="s">
        <v>36</v>
      </c>
      <c r="F41" s="1" t="s">
        <v>193</v>
      </c>
      <c r="G41" t="s">
        <v>252</v>
      </c>
      <c r="H41" t="s">
        <v>242</v>
      </c>
      <c r="I41" s="11" t="s">
        <v>371</v>
      </c>
      <c r="J41" s="1">
        <v>98</v>
      </c>
      <c r="K41" s="1" t="s">
        <v>23</v>
      </c>
      <c r="L41" t="s">
        <v>439</v>
      </c>
      <c r="M41" s="1" t="s">
        <v>135</v>
      </c>
      <c r="N41" s="1">
        <v>114100</v>
      </c>
    </row>
    <row r="42" spans="1:14" ht="16" customHeight="1" x14ac:dyDescent="0.25">
      <c r="A42" s="1" t="s">
        <v>300</v>
      </c>
      <c r="B42" t="s">
        <v>402</v>
      </c>
      <c r="C42" s="1">
        <v>1974</v>
      </c>
      <c r="D42" s="1" t="s">
        <v>28</v>
      </c>
      <c r="E42" s="1" t="s">
        <v>21</v>
      </c>
      <c r="F42" s="1" t="s">
        <v>193</v>
      </c>
      <c r="G42" t="s">
        <v>252</v>
      </c>
      <c r="H42" t="s">
        <v>242</v>
      </c>
      <c r="I42" s="11" t="s">
        <v>372</v>
      </c>
      <c r="J42" s="1">
        <v>52</v>
      </c>
      <c r="K42" s="1" t="s">
        <v>29</v>
      </c>
      <c r="L42" t="s">
        <v>439</v>
      </c>
      <c r="M42" s="1" t="s">
        <v>201</v>
      </c>
      <c r="N42" s="1">
        <v>79870</v>
      </c>
    </row>
    <row r="43" spans="1:14" ht="16" customHeight="1" x14ac:dyDescent="0.25">
      <c r="A43" s="1" t="s">
        <v>301</v>
      </c>
      <c r="B43" t="s">
        <v>403</v>
      </c>
      <c r="C43" s="1">
        <v>1990</v>
      </c>
      <c r="D43" s="1" t="s">
        <v>100</v>
      </c>
      <c r="E43" s="1" t="s">
        <v>21</v>
      </c>
      <c r="F43" s="1" t="s">
        <v>205</v>
      </c>
      <c r="G43" t="s">
        <v>253</v>
      </c>
      <c r="H43" t="s">
        <v>242</v>
      </c>
      <c r="I43" s="11" t="s">
        <v>373</v>
      </c>
      <c r="J43" s="1">
        <v>56</v>
      </c>
      <c r="K43" s="1" t="s">
        <v>74</v>
      </c>
      <c r="L43" t="s">
        <v>438</v>
      </c>
      <c r="M43" s="1" t="s">
        <v>206</v>
      </c>
      <c r="N43" s="1">
        <v>102000</v>
      </c>
    </row>
    <row r="44" spans="1:14" ht="16" customHeight="1" x14ac:dyDescent="0.25">
      <c r="A44" s="1" t="s">
        <v>302</v>
      </c>
      <c r="B44" t="s">
        <v>404</v>
      </c>
      <c r="C44" s="1">
        <v>1960</v>
      </c>
      <c r="D44" s="1" t="s">
        <v>121</v>
      </c>
      <c r="E44" s="1" t="s">
        <v>21</v>
      </c>
      <c r="F44" s="1" t="s">
        <v>205</v>
      </c>
      <c r="G44" t="s">
        <v>253</v>
      </c>
      <c r="H44" t="s">
        <v>242</v>
      </c>
      <c r="I44" s="11" t="s">
        <v>374</v>
      </c>
      <c r="J44" s="1">
        <v>102</v>
      </c>
      <c r="K44" s="1" t="s">
        <v>74</v>
      </c>
      <c r="L44" t="s">
        <v>439</v>
      </c>
      <c r="M44" s="1" t="s">
        <v>139</v>
      </c>
      <c r="N44" s="1">
        <v>50660</v>
      </c>
    </row>
    <row r="45" spans="1:14" ht="16" customHeight="1" x14ac:dyDescent="0.25">
      <c r="A45" s="1" t="s">
        <v>303</v>
      </c>
      <c r="B45" t="s">
        <v>405</v>
      </c>
      <c r="C45" s="1">
        <v>1965</v>
      </c>
      <c r="D45" s="1" t="s">
        <v>59</v>
      </c>
      <c r="E45" s="1" t="s">
        <v>21</v>
      </c>
      <c r="F45" s="1" t="s">
        <v>205</v>
      </c>
      <c r="G45" t="s">
        <v>253</v>
      </c>
      <c r="H45" t="s">
        <v>242</v>
      </c>
      <c r="I45" s="11" t="s">
        <v>375</v>
      </c>
      <c r="J45" s="1">
        <v>59</v>
      </c>
      <c r="K45" s="1" t="s">
        <v>29</v>
      </c>
      <c r="L45" t="s">
        <v>439</v>
      </c>
      <c r="M45" s="1" t="s">
        <v>201</v>
      </c>
      <c r="N45" s="1">
        <v>58220</v>
      </c>
    </row>
    <row r="46" spans="1:14" ht="16" customHeight="1" x14ac:dyDescent="0.25">
      <c r="A46" s="1" t="s">
        <v>304</v>
      </c>
      <c r="B46" t="s">
        <v>406</v>
      </c>
      <c r="C46" s="1">
        <v>1960</v>
      </c>
      <c r="D46" s="1" t="s">
        <v>42</v>
      </c>
      <c r="E46" s="1" t="s">
        <v>21</v>
      </c>
      <c r="F46" s="1" t="s">
        <v>215</v>
      </c>
      <c r="G46" t="s">
        <v>254</v>
      </c>
      <c r="H46" t="s">
        <v>243</v>
      </c>
      <c r="I46" s="11" t="s">
        <v>376</v>
      </c>
      <c r="J46" s="1">
        <v>64</v>
      </c>
      <c r="K46" s="1" t="s">
        <v>74</v>
      </c>
      <c r="L46" t="s">
        <v>438</v>
      </c>
      <c r="M46" s="1" t="s">
        <v>216</v>
      </c>
      <c r="N46" s="1">
        <v>39940</v>
      </c>
    </row>
    <row r="47" spans="1:14" ht="16" customHeight="1" x14ac:dyDescent="0.25">
      <c r="A47" s="1" t="s">
        <v>305</v>
      </c>
      <c r="B47" t="s">
        <v>407</v>
      </c>
      <c r="C47" s="1">
        <v>1973</v>
      </c>
      <c r="D47" s="1" t="s">
        <v>20</v>
      </c>
      <c r="E47" s="1" t="s">
        <v>36</v>
      </c>
      <c r="F47" s="1" t="s">
        <v>215</v>
      </c>
      <c r="G47" t="s">
        <v>254</v>
      </c>
      <c r="H47" t="s">
        <v>243</v>
      </c>
      <c r="I47" s="11" t="s">
        <v>377</v>
      </c>
      <c r="J47" s="1">
        <v>99</v>
      </c>
      <c r="K47" s="1" t="s">
        <v>146</v>
      </c>
      <c r="L47" t="s">
        <v>439</v>
      </c>
      <c r="M47" s="1" t="s">
        <v>135</v>
      </c>
      <c r="N47" s="1">
        <v>44870</v>
      </c>
    </row>
    <row r="48" spans="1:14" ht="16" customHeight="1" x14ac:dyDescent="0.25">
      <c r="A48" s="1" t="s">
        <v>306</v>
      </c>
      <c r="B48" t="s">
        <v>408</v>
      </c>
      <c r="C48" s="1">
        <v>1968</v>
      </c>
      <c r="D48" s="1" t="s">
        <v>130</v>
      </c>
      <c r="E48" s="1" t="s">
        <v>21</v>
      </c>
      <c r="F48" s="1" t="s">
        <v>215</v>
      </c>
      <c r="G48" t="s">
        <v>254</v>
      </c>
      <c r="H48" t="s">
        <v>243</v>
      </c>
      <c r="I48" s="11" t="s">
        <v>378</v>
      </c>
      <c r="J48" s="1">
        <v>62</v>
      </c>
      <c r="K48" s="1" t="s">
        <v>29</v>
      </c>
      <c r="L48" t="s">
        <v>439</v>
      </c>
      <c r="M48" s="1" t="s">
        <v>135</v>
      </c>
      <c r="N48" s="1">
        <v>90480</v>
      </c>
    </row>
    <row r="49" spans="1:14" ht="16" customHeight="1" x14ac:dyDescent="0.25">
      <c r="A49" s="1" t="s">
        <v>307</v>
      </c>
      <c r="B49" t="s">
        <v>409</v>
      </c>
      <c r="C49" s="1">
        <v>1997</v>
      </c>
      <c r="D49" s="1" t="s">
        <v>42</v>
      </c>
      <c r="E49" s="1" t="s">
        <v>21</v>
      </c>
      <c r="F49" s="1" t="s">
        <v>226</v>
      </c>
      <c r="G49" t="s">
        <v>255</v>
      </c>
      <c r="H49" t="s">
        <v>244</v>
      </c>
      <c r="I49" s="11" t="s">
        <v>379</v>
      </c>
      <c r="J49" s="1">
        <v>50</v>
      </c>
      <c r="K49" s="1" t="s">
        <v>74</v>
      </c>
      <c r="L49" t="s">
        <v>439</v>
      </c>
      <c r="M49" s="1" t="s">
        <v>38</v>
      </c>
      <c r="N49" s="1">
        <v>38970</v>
      </c>
    </row>
    <row r="50" spans="1:14" ht="16" customHeight="1" x14ac:dyDescent="0.25">
      <c r="A50" s="1" t="s">
        <v>308</v>
      </c>
      <c r="B50" t="s">
        <v>410</v>
      </c>
      <c r="C50" s="1">
        <v>1987</v>
      </c>
      <c r="D50" s="1" t="s">
        <v>100</v>
      </c>
      <c r="E50" s="1" t="s">
        <v>36</v>
      </c>
      <c r="F50" s="1" t="s">
        <v>226</v>
      </c>
      <c r="G50" t="s">
        <v>255</v>
      </c>
      <c r="H50" t="s">
        <v>244</v>
      </c>
      <c r="I50" s="11" t="s">
        <v>380</v>
      </c>
      <c r="J50" s="1">
        <v>46</v>
      </c>
      <c r="K50" s="1" t="s">
        <v>23</v>
      </c>
      <c r="L50" t="s">
        <v>439</v>
      </c>
      <c r="M50" s="1" t="s">
        <v>230</v>
      </c>
      <c r="N50" s="1">
        <v>35390</v>
      </c>
    </row>
    <row r="51" spans="1:14" ht="16" customHeight="1" x14ac:dyDescent="0.25">
      <c r="A51" s="1" t="s">
        <v>309</v>
      </c>
      <c r="B51" t="s">
        <v>411</v>
      </c>
      <c r="C51" s="1">
        <v>1993</v>
      </c>
      <c r="D51" s="1" t="s">
        <v>59</v>
      </c>
      <c r="E51" s="1" t="s">
        <v>36</v>
      </c>
      <c r="F51" s="1" t="s">
        <v>235</v>
      </c>
      <c r="G51" t="s">
        <v>246</v>
      </c>
      <c r="H51" t="s">
        <v>239</v>
      </c>
      <c r="I51" s="11" t="s">
        <v>381</v>
      </c>
      <c r="J51" s="1">
        <v>93</v>
      </c>
      <c r="K51" s="1" t="s">
        <v>64</v>
      </c>
      <c r="L51" t="s">
        <v>438</v>
      </c>
      <c r="M51" s="1" t="s">
        <v>236</v>
      </c>
      <c r="N51" s="1">
        <v>20530</v>
      </c>
    </row>
  </sheetData>
  <pageMargins left="0.7" right="0.7" top="0.75" bottom="0.75" header="0.3" footer="0.3"/>
  <ignoredErrors>
    <ignoredError sqref="A2 A3:A51" numberStoredAsText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7470-7F31-431D-8EDF-1B92CF832B51}">
  <dimension ref="A4:P330"/>
  <sheetViews>
    <sheetView tabSelected="1" zoomScale="80" zoomScaleNormal="80" workbookViewId="0">
      <selection activeCell="E19" sqref="E19"/>
    </sheetView>
  </sheetViews>
  <sheetFormatPr defaultRowHeight="12.5" x14ac:dyDescent="0.25"/>
  <cols>
    <col min="1" max="1" width="23.08984375" bestFit="1" customWidth="1"/>
    <col min="2" max="2" width="13.453125" bestFit="1" customWidth="1"/>
    <col min="3" max="3" width="8.36328125" bestFit="1" customWidth="1"/>
    <col min="4" max="4" width="13.453125" bestFit="1" customWidth="1"/>
    <col min="5" max="5" width="17.90625" bestFit="1" customWidth="1"/>
  </cols>
  <sheetData>
    <row r="4" spans="1:4" x14ac:dyDescent="0.25">
      <c r="A4" t="s">
        <v>414</v>
      </c>
    </row>
    <row r="5" spans="1:4" x14ac:dyDescent="0.25">
      <c r="A5">
        <v>50</v>
      </c>
    </row>
    <row r="7" spans="1:4" x14ac:dyDescent="0.25">
      <c r="B7" s="13"/>
      <c r="D7" s="13"/>
    </row>
    <row r="8" spans="1:4" x14ac:dyDescent="0.25">
      <c r="D8" s="13"/>
    </row>
    <row r="9" spans="1:4" x14ac:dyDescent="0.25">
      <c r="D9" s="13"/>
    </row>
    <row r="10" spans="1:4" x14ac:dyDescent="0.25">
      <c r="D10" s="13"/>
    </row>
    <row r="11" spans="1:4" x14ac:dyDescent="0.25">
      <c r="D11" s="13"/>
    </row>
    <row r="12" spans="1:4" x14ac:dyDescent="0.25">
      <c r="D12" s="13"/>
    </row>
    <row r="14" spans="1:4" x14ac:dyDescent="0.25">
      <c r="A14" s="12" t="s">
        <v>418</v>
      </c>
      <c r="B14" t="s">
        <v>423</v>
      </c>
    </row>
    <row r="15" spans="1:4" x14ac:dyDescent="0.25">
      <c r="A15" s="13" t="s">
        <v>21</v>
      </c>
      <c r="B15">
        <v>25</v>
      </c>
    </row>
    <row r="16" spans="1:4" x14ac:dyDescent="0.25">
      <c r="A16" s="13" t="s">
        <v>36</v>
      </c>
      <c r="B16">
        <v>25</v>
      </c>
    </row>
    <row r="17" spans="1:14" x14ac:dyDescent="0.25">
      <c r="A17" s="13" t="s">
        <v>383</v>
      </c>
      <c r="B17">
        <v>50</v>
      </c>
    </row>
    <row r="20" spans="1:14" x14ac:dyDescent="0.25">
      <c r="A20" t="s">
        <v>424</v>
      </c>
    </row>
    <row r="21" spans="1:14" x14ac:dyDescent="0.25">
      <c r="A21">
        <v>32</v>
      </c>
    </row>
    <row r="24" spans="1:14" x14ac:dyDescent="0.25"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x14ac:dyDescent="0.25">
      <c r="A25" s="12" t="s">
        <v>415</v>
      </c>
      <c r="B25" t="s">
        <v>417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x14ac:dyDescent="0.25">
      <c r="A26" s="13" t="s">
        <v>43</v>
      </c>
      <c r="B26" s="20">
        <v>199560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x14ac:dyDescent="0.25">
      <c r="A27" s="13" t="s">
        <v>85</v>
      </c>
      <c r="B27" s="20">
        <v>56600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x14ac:dyDescent="0.25">
      <c r="A28" s="13" t="s">
        <v>201</v>
      </c>
      <c r="B28" s="20">
        <v>138090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x14ac:dyDescent="0.25">
      <c r="A29" s="13" t="s">
        <v>122</v>
      </c>
      <c r="B29" s="20">
        <v>46350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x14ac:dyDescent="0.25">
      <c r="A30" s="13" t="s">
        <v>135</v>
      </c>
      <c r="B30" s="20">
        <v>285210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x14ac:dyDescent="0.25">
      <c r="A31" s="13" t="s">
        <v>230</v>
      </c>
      <c r="B31" s="20">
        <v>35390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x14ac:dyDescent="0.25">
      <c r="A32" s="13" t="s">
        <v>30</v>
      </c>
      <c r="B32" s="20">
        <v>87470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x14ac:dyDescent="0.25">
      <c r="A33" s="13" t="s">
        <v>139</v>
      </c>
      <c r="B33" s="20">
        <v>188950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x14ac:dyDescent="0.25">
      <c r="A34" s="13" t="s">
        <v>95</v>
      </c>
      <c r="B34" s="20">
        <v>64860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x14ac:dyDescent="0.25">
      <c r="A35" s="13" t="s">
        <v>65</v>
      </c>
      <c r="B35" s="20">
        <v>109900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x14ac:dyDescent="0.25">
      <c r="A36" s="13" t="s">
        <v>101</v>
      </c>
      <c r="B36" s="20">
        <v>10240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x14ac:dyDescent="0.25">
      <c r="A37" s="13" t="s">
        <v>112</v>
      </c>
      <c r="B37" s="20">
        <v>88790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x14ac:dyDescent="0.25">
      <c r="A38" s="13" t="s">
        <v>60</v>
      </c>
      <c r="B38" s="20">
        <v>215280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x14ac:dyDescent="0.25">
      <c r="A39" s="13" t="s">
        <v>24</v>
      </c>
      <c r="B39" s="20">
        <v>241820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x14ac:dyDescent="0.25">
      <c r="A40" s="13" t="s">
        <v>172</v>
      </c>
      <c r="B40" s="20">
        <v>95120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x14ac:dyDescent="0.25">
      <c r="A41" s="13" t="s">
        <v>131</v>
      </c>
      <c r="B41" s="20">
        <v>96470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x14ac:dyDescent="0.25">
      <c r="A42" s="13" t="s">
        <v>55</v>
      </c>
      <c r="B42" s="20">
        <v>51130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x14ac:dyDescent="0.25">
      <c r="A43" s="13" t="s">
        <v>38</v>
      </c>
      <c r="B43" s="20">
        <v>103690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x14ac:dyDescent="0.25">
      <c r="A44" s="13" t="s">
        <v>80</v>
      </c>
      <c r="B44" s="20">
        <v>99610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x14ac:dyDescent="0.25">
      <c r="A45" s="13" t="s">
        <v>162</v>
      </c>
      <c r="B45" s="20">
        <v>69040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x14ac:dyDescent="0.25">
      <c r="A46" s="13" t="s">
        <v>206</v>
      </c>
      <c r="B46" s="20">
        <v>102000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x14ac:dyDescent="0.25">
      <c r="A47" s="13" t="s">
        <v>108</v>
      </c>
      <c r="B47" s="20">
        <v>80760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x14ac:dyDescent="0.25">
      <c r="A48" s="13" t="s">
        <v>178</v>
      </c>
      <c r="B48" s="20">
        <v>108400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x14ac:dyDescent="0.25">
      <c r="A49" s="13" t="s">
        <v>216</v>
      </c>
      <c r="B49" s="20">
        <v>39940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x14ac:dyDescent="0.25">
      <c r="A50" s="13" t="s">
        <v>89</v>
      </c>
      <c r="B50" s="20">
        <v>145860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x14ac:dyDescent="0.25">
      <c r="A51" s="13" t="s">
        <v>185</v>
      </c>
      <c r="B51" s="20">
        <v>33970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x14ac:dyDescent="0.25">
      <c r="A52" s="13" t="s">
        <v>70</v>
      </c>
      <c r="B52" s="20">
        <v>60060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x14ac:dyDescent="0.25">
      <c r="A53" s="13" t="s">
        <v>117</v>
      </c>
      <c r="B53" s="20">
        <v>63530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x14ac:dyDescent="0.25">
      <c r="A54" s="13" t="s">
        <v>236</v>
      </c>
      <c r="B54" s="20">
        <v>20530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x14ac:dyDescent="0.25">
      <c r="A55" s="13" t="s">
        <v>126</v>
      </c>
      <c r="B55" s="20">
        <v>235830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x14ac:dyDescent="0.25">
      <c r="A56" s="13" t="s">
        <v>151</v>
      </c>
      <c r="B56" s="20">
        <v>127300</v>
      </c>
    </row>
    <row r="57" spans="1:14" x14ac:dyDescent="0.25">
      <c r="A57" s="13" t="s">
        <v>49</v>
      </c>
      <c r="B57" s="20">
        <v>56920</v>
      </c>
    </row>
    <row r="58" spans="1:14" x14ac:dyDescent="0.25">
      <c r="A58" s="13" t="s">
        <v>383</v>
      </c>
      <c r="B58" s="20">
        <v>3358670</v>
      </c>
    </row>
    <row r="61" spans="1:14" x14ac:dyDescent="0.25">
      <c r="D61" s="24"/>
      <c r="E61" s="24"/>
      <c r="F61" s="24"/>
      <c r="G61" s="24"/>
      <c r="H61" s="24"/>
      <c r="I61" s="24"/>
    </row>
    <row r="62" spans="1:14" x14ac:dyDescent="0.25">
      <c r="D62" s="24"/>
      <c r="E62" s="24"/>
      <c r="F62" s="24"/>
      <c r="G62" s="24"/>
      <c r="H62" s="24"/>
      <c r="I62" s="24"/>
    </row>
    <row r="63" spans="1:14" x14ac:dyDescent="0.25">
      <c r="D63" s="24"/>
      <c r="E63" s="24"/>
      <c r="F63" s="24"/>
      <c r="G63" s="24"/>
      <c r="H63" s="24"/>
      <c r="I63" s="24"/>
    </row>
    <row r="64" spans="1:14" x14ac:dyDescent="0.25">
      <c r="A64" s="12" t="s">
        <v>416</v>
      </c>
      <c r="B64" t="s">
        <v>417</v>
      </c>
      <c r="D64" s="24"/>
      <c r="E64" s="24"/>
      <c r="F64" s="24"/>
      <c r="G64" s="24"/>
      <c r="H64" s="24"/>
      <c r="I64" s="24"/>
    </row>
    <row r="65" spans="1:9" x14ac:dyDescent="0.25">
      <c r="A65" s="13" t="s">
        <v>252</v>
      </c>
      <c r="B65" s="20">
        <v>310370</v>
      </c>
      <c r="D65" s="24"/>
      <c r="E65" s="24"/>
      <c r="F65" s="24"/>
      <c r="G65" s="24"/>
      <c r="H65" s="24"/>
      <c r="I65" s="24"/>
    </row>
    <row r="66" spans="1:9" x14ac:dyDescent="0.25">
      <c r="A66" s="13" t="s">
        <v>249</v>
      </c>
      <c r="B66" s="20">
        <v>503350</v>
      </c>
      <c r="D66" s="24"/>
      <c r="E66" s="24"/>
      <c r="F66" s="24"/>
      <c r="G66" s="24"/>
      <c r="H66" s="24"/>
      <c r="I66" s="24"/>
    </row>
    <row r="67" spans="1:9" x14ac:dyDescent="0.25">
      <c r="A67" s="13" t="s">
        <v>250</v>
      </c>
      <c r="B67" s="20">
        <v>124510</v>
      </c>
      <c r="D67" s="24"/>
      <c r="E67" s="24"/>
      <c r="F67" s="24"/>
      <c r="G67" s="24"/>
      <c r="H67" s="24"/>
      <c r="I67" s="24"/>
    </row>
    <row r="68" spans="1:9" x14ac:dyDescent="0.25">
      <c r="A68" s="13" t="s">
        <v>246</v>
      </c>
      <c r="B68" s="20">
        <v>85250</v>
      </c>
      <c r="D68" s="24"/>
      <c r="E68" s="24"/>
      <c r="F68" s="24"/>
      <c r="G68" s="24"/>
      <c r="H68" s="24"/>
      <c r="I68" s="24"/>
    </row>
    <row r="69" spans="1:9" x14ac:dyDescent="0.25">
      <c r="A69" s="13" t="s">
        <v>251</v>
      </c>
      <c r="B69" s="20">
        <v>612400</v>
      </c>
      <c r="D69" s="24"/>
      <c r="E69" s="24"/>
      <c r="F69" s="24"/>
      <c r="G69" s="24"/>
      <c r="H69" s="24"/>
      <c r="I69" s="24"/>
    </row>
    <row r="70" spans="1:9" x14ac:dyDescent="0.25">
      <c r="A70" s="13" t="s">
        <v>248</v>
      </c>
      <c r="B70" s="20">
        <v>333410</v>
      </c>
      <c r="D70" s="24"/>
      <c r="E70" s="24"/>
      <c r="F70" s="24"/>
      <c r="G70" s="24"/>
      <c r="H70" s="24"/>
      <c r="I70" s="24"/>
    </row>
    <row r="71" spans="1:9" x14ac:dyDescent="0.25">
      <c r="A71" s="13" t="s">
        <v>254</v>
      </c>
      <c r="B71" s="20">
        <v>175290</v>
      </c>
      <c r="D71" s="24"/>
      <c r="E71" s="24"/>
      <c r="F71" s="24"/>
      <c r="G71" s="24"/>
      <c r="H71" s="24"/>
      <c r="I71" s="24"/>
    </row>
    <row r="72" spans="1:9" x14ac:dyDescent="0.25">
      <c r="A72" s="13" t="s">
        <v>253</v>
      </c>
      <c r="B72" s="20">
        <v>210880</v>
      </c>
      <c r="D72" s="24"/>
      <c r="E72" s="24"/>
      <c r="F72" s="24"/>
      <c r="G72" s="24"/>
      <c r="H72" s="24"/>
      <c r="I72" s="24"/>
    </row>
    <row r="73" spans="1:9" x14ac:dyDescent="0.25">
      <c r="A73" s="13" t="s">
        <v>255</v>
      </c>
      <c r="B73" s="20">
        <v>74360</v>
      </c>
      <c r="D73" s="24"/>
      <c r="E73" s="24"/>
      <c r="F73" s="24"/>
      <c r="G73" s="24"/>
      <c r="H73" s="24"/>
      <c r="I73" s="24"/>
    </row>
    <row r="74" spans="1:9" x14ac:dyDescent="0.25">
      <c r="A74" s="13" t="s">
        <v>247</v>
      </c>
      <c r="B74" s="20">
        <v>366430</v>
      </c>
      <c r="D74" s="24"/>
      <c r="E74" s="24"/>
      <c r="F74" s="24"/>
      <c r="G74" s="24"/>
      <c r="H74" s="24"/>
      <c r="I74" s="24"/>
    </row>
    <row r="75" spans="1:9" x14ac:dyDescent="0.25">
      <c r="A75" s="13" t="s">
        <v>245</v>
      </c>
      <c r="B75" s="20">
        <v>562420</v>
      </c>
      <c r="D75" s="24"/>
      <c r="E75" s="24"/>
      <c r="F75" s="24"/>
      <c r="G75" s="24"/>
      <c r="H75" s="24"/>
      <c r="I75" s="24"/>
    </row>
    <row r="76" spans="1:9" x14ac:dyDescent="0.25">
      <c r="A76" s="13" t="s">
        <v>383</v>
      </c>
      <c r="B76" s="20">
        <v>3358670</v>
      </c>
      <c r="D76" s="24"/>
      <c r="E76" s="24"/>
      <c r="F76" s="24"/>
      <c r="G76" s="24"/>
      <c r="H76" s="24"/>
      <c r="I76" s="24"/>
    </row>
    <row r="77" spans="1:9" x14ac:dyDescent="0.25">
      <c r="D77" s="24"/>
      <c r="E77" s="24"/>
      <c r="F77" s="24"/>
      <c r="G77" s="24"/>
      <c r="H77" s="24"/>
      <c r="I77" s="24"/>
    </row>
    <row r="78" spans="1:9" x14ac:dyDescent="0.25">
      <c r="D78" s="24"/>
      <c r="E78" s="24"/>
      <c r="F78" s="24"/>
      <c r="G78" s="24"/>
      <c r="H78" s="24"/>
      <c r="I78" s="24"/>
    </row>
    <row r="81" spans="1:4" x14ac:dyDescent="0.25">
      <c r="A81" s="12" t="s">
        <v>414</v>
      </c>
      <c r="B81" s="12" t="s">
        <v>418</v>
      </c>
    </row>
    <row r="82" spans="1:4" x14ac:dyDescent="0.25">
      <c r="A82" s="12" t="s">
        <v>416</v>
      </c>
      <c r="B82" t="s">
        <v>21</v>
      </c>
      <c r="C82" t="s">
        <v>36</v>
      </c>
      <c r="D82" t="s">
        <v>383</v>
      </c>
    </row>
    <row r="83" spans="1:4" x14ac:dyDescent="0.25">
      <c r="A83" s="13" t="s">
        <v>252</v>
      </c>
      <c r="B83">
        <v>1</v>
      </c>
      <c r="C83">
        <v>2</v>
      </c>
      <c r="D83">
        <v>3</v>
      </c>
    </row>
    <row r="84" spans="1:4" x14ac:dyDescent="0.25">
      <c r="A84" s="13" t="s">
        <v>249</v>
      </c>
      <c r="B84">
        <v>6</v>
      </c>
      <c r="C84">
        <v>2</v>
      </c>
      <c r="D84">
        <v>8</v>
      </c>
    </row>
    <row r="85" spans="1:4" x14ac:dyDescent="0.25">
      <c r="A85" s="13" t="s">
        <v>250</v>
      </c>
      <c r="B85">
        <v>1</v>
      </c>
      <c r="C85">
        <v>2</v>
      </c>
      <c r="D85">
        <v>3</v>
      </c>
    </row>
    <row r="86" spans="1:4" x14ac:dyDescent="0.25">
      <c r="A86" s="13" t="s">
        <v>246</v>
      </c>
      <c r="C86">
        <v>2</v>
      </c>
      <c r="D86">
        <v>2</v>
      </c>
    </row>
    <row r="87" spans="1:4" x14ac:dyDescent="0.25">
      <c r="A87" s="13" t="s">
        <v>251</v>
      </c>
      <c r="B87">
        <v>3</v>
      </c>
      <c r="C87">
        <v>6</v>
      </c>
      <c r="D87">
        <v>9</v>
      </c>
    </row>
    <row r="88" spans="1:4" x14ac:dyDescent="0.25">
      <c r="A88" s="13" t="s">
        <v>248</v>
      </c>
      <c r="B88">
        <v>1</v>
      </c>
      <c r="C88">
        <v>4</v>
      </c>
      <c r="D88">
        <v>5</v>
      </c>
    </row>
    <row r="89" spans="1:4" x14ac:dyDescent="0.25">
      <c r="A89" s="13" t="s">
        <v>254</v>
      </c>
      <c r="B89">
        <v>2</v>
      </c>
      <c r="C89">
        <v>1</v>
      </c>
      <c r="D89">
        <v>3</v>
      </c>
    </row>
    <row r="90" spans="1:4" x14ac:dyDescent="0.25">
      <c r="A90" s="13" t="s">
        <v>253</v>
      </c>
      <c r="B90">
        <v>3</v>
      </c>
      <c r="D90">
        <v>3</v>
      </c>
    </row>
    <row r="91" spans="1:4" x14ac:dyDescent="0.25">
      <c r="A91" s="13" t="s">
        <v>255</v>
      </c>
      <c r="B91">
        <v>1</v>
      </c>
      <c r="C91">
        <v>1</v>
      </c>
      <c r="D91">
        <v>2</v>
      </c>
    </row>
    <row r="92" spans="1:4" x14ac:dyDescent="0.25">
      <c r="A92" s="13" t="s">
        <v>247</v>
      </c>
      <c r="B92">
        <v>3</v>
      </c>
      <c r="C92">
        <v>2</v>
      </c>
      <c r="D92">
        <v>5</v>
      </c>
    </row>
    <row r="93" spans="1:4" x14ac:dyDescent="0.25">
      <c r="A93" s="13" t="s">
        <v>245</v>
      </c>
      <c r="B93">
        <v>4</v>
      </c>
      <c r="C93">
        <v>3</v>
      </c>
      <c r="D93">
        <v>7</v>
      </c>
    </row>
    <row r="94" spans="1:4" x14ac:dyDescent="0.25">
      <c r="A94" s="13" t="s">
        <v>383</v>
      </c>
      <c r="B94">
        <v>25</v>
      </c>
      <c r="C94">
        <v>25</v>
      </c>
      <c r="D94">
        <v>50</v>
      </c>
    </row>
    <row r="98" spans="1:4" x14ac:dyDescent="0.25">
      <c r="A98" s="12" t="s">
        <v>414</v>
      </c>
      <c r="B98" s="12" t="s">
        <v>418</v>
      </c>
    </row>
    <row r="99" spans="1:4" x14ac:dyDescent="0.25">
      <c r="A99" s="12" t="s">
        <v>415</v>
      </c>
      <c r="B99" t="s">
        <v>21</v>
      </c>
      <c r="C99" t="s">
        <v>36</v>
      </c>
      <c r="D99" t="s">
        <v>383</v>
      </c>
    </row>
    <row r="100" spans="1:4" x14ac:dyDescent="0.25">
      <c r="A100" s="13" t="s">
        <v>43</v>
      </c>
      <c r="B100">
        <v>1</v>
      </c>
      <c r="C100">
        <v>1</v>
      </c>
      <c r="D100">
        <v>2</v>
      </c>
    </row>
    <row r="101" spans="1:4" x14ac:dyDescent="0.25">
      <c r="A101" s="13" t="s">
        <v>85</v>
      </c>
      <c r="B101">
        <v>1</v>
      </c>
      <c r="D101">
        <v>1</v>
      </c>
    </row>
    <row r="102" spans="1:4" x14ac:dyDescent="0.25">
      <c r="A102" s="13" t="s">
        <v>201</v>
      </c>
      <c r="B102">
        <v>2</v>
      </c>
      <c r="D102">
        <v>2</v>
      </c>
    </row>
    <row r="103" spans="1:4" x14ac:dyDescent="0.25">
      <c r="A103" s="13" t="s">
        <v>122</v>
      </c>
      <c r="C103">
        <v>1</v>
      </c>
      <c r="D103">
        <v>1</v>
      </c>
    </row>
    <row r="104" spans="1:4" x14ac:dyDescent="0.25">
      <c r="A104" s="13" t="s">
        <v>135</v>
      </c>
      <c r="B104">
        <v>3</v>
      </c>
      <c r="C104">
        <v>2</v>
      </c>
      <c r="D104">
        <v>5</v>
      </c>
    </row>
    <row r="105" spans="1:4" x14ac:dyDescent="0.25">
      <c r="A105" s="13" t="s">
        <v>230</v>
      </c>
      <c r="C105">
        <v>1</v>
      </c>
      <c r="D105">
        <v>1</v>
      </c>
    </row>
    <row r="106" spans="1:4" x14ac:dyDescent="0.25">
      <c r="A106" s="13" t="s">
        <v>30</v>
      </c>
      <c r="B106">
        <v>1</v>
      </c>
      <c r="D106">
        <v>1</v>
      </c>
    </row>
    <row r="107" spans="1:4" x14ac:dyDescent="0.25">
      <c r="A107" s="13" t="s">
        <v>139</v>
      </c>
      <c r="B107">
        <v>2</v>
      </c>
      <c r="C107">
        <v>1</v>
      </c>
      <c r="D107">
        <v>3</v>
      </c>
    </row>
    <row r="108" spans="1:4" x14ac:dyDescent="0.25">
      <c r="A108" s="13" t="s">
        <v>95</v>
      </c>
      <c r="C108">
        <v>1</v>
      </c>
      <c r="D108">
        <v>1</v>
      </c>
    </row>
    <row r="109" spans="1:4" x14ac:dyDescent="0.25">
      <c r="A109" s="13" t="s">
        <v>65</v>
      </c>
      <c r="C109">
        <v>1</v>
      </c>
      <c r="D109">
        <v>1</v>
      </c>
    </row>
    <row r="110" spans="1:4" x14ac:dyDescent="0.25">
      <c r="A110" s="13" t="s">
        <v>101</v>
      </c>
      <c r="B110">
        <v>1</v>
      </c>
      <c r="D110">
        <v>1</v>
      </c>
    </row>
    <row r="111" spans="1:4" x14ac:dyDescent="0.25">
      <c r="A111" s="13" t="s">
        <v>112</v>
      </c>
      <c r="C111">
        <v>1</v>
      </c>
      <c r="D111">
        <v>1</v>
      </c>
    </row>
    <row r="112" spans="1:4" x14ac:dyDescent="0.25">
      <c r="A112" s="13" t="s">
        <v>60</v>
      </c>
      <c r="B112">
        <v>3</v>
      </c>
      <c r="C112">
        <v>1</v>
      </c>
      <c r="D112">
        <v>4</v>
      </c>
    </row>
    <row r="113" spans="1:12" x14ac:dyDescent="0.25">
      <c r="A113" s="13" t="s">
        <v>24</v>
      </c>
      <c r="B113">
        <v>2</v>
      </c>
      <c r="C113">
        <v>1</v>
      </c>
      <c r="D113">
        <v>3</v>
      </c>
    </row>
    <row r="114" spans="1:12" x14ac:dyDescent="0.25">
      <c r="A114" s="13" t="s">
        <v>172</v>
      </c>
      <c r="C114">
        <v>1</v>
      </c>
      <c r="D114">
        <v>1</v>
      </c>
    </row>
    <row r="115" spans="1:12" ht="13" x14ac:dyDescent="0.3">
      <c r="A115" s="13" t="s">
        <v>131</v>
      </c>
      <c r="B115">
        <v>1</v>
      </c>
      <c r="D115">
        <v>1</v>
      </c>
      <c r="J115" s="19"/>
    </row>
    <row r="116" spans="1:12" x14ac:dyDescent="0.25">
      <c r="A116" s="13" t="s">
        <v>55</v>
      </c>
      <c r="C116">
        <v>1</v>
      </c>
      <c r="D116">
        <v>1</v>
      </c>
    </row>
    <row r="117" spans="1:12" x14ac:dyDescent="0.25">
      <c r="A117" s="13" t="s">
        <v>38</v>
      </c>
      <c r="B117">
        <v>1</v>
      </c>
      <c r="C117">
        <v>1</v>
      </c>
      <c r="D117">
        <v>2</v>
      </c>
    </row>
    <row r="118" spans="1:12" x14ac:dyDescent="0.25">
      <c r="A118" s="13" t="s">
        <v>80</v>
      </c>
      <c r="C118">
        <v>1</v>
      </c>
      <c r="D118">
        <v>1</v>
      </c>
    </row>
    <row r="119" spans="1:12" x14ac:dyDescent="0.25">
      <c r="A119" s="13" t="s">
        <v>162</v>
      </c>
      <c r="B119">
        <v>1</v>
      </c>
      <c r="D119">
        <v>1</v>
      </c>
    </row>
    <row r="120" spans="1:12" x14ac:dyDescent="0.25">
      <c r="A120" s="13" t="s">
        <v>206</v>
      </c>
      <c r="B120">
        <v>1</v>
      </c>
      <c r="D120">
        <v>1</v>
      </c>
    </row>
    <row r="121" spans="1:12" x14ac:dyDescent="0.25">
      <c r="A121" s="13" t="s">
        <v>108</v>
      </c>
      <c r="C121">
        <v>1</v>
      </c>
      <c r="D121">
        <v>1</v>
      </c>
    </row>
    <row r="122" spans="1:12" x14ac:dyDescent="0.25">
      <c r="A122" s="13" t="s">
        <v>178</v>
      </c>
      <c r="C122">
        <v>1</v>
      </c>
      <c r="D122">
        <v>1</v>
      </c>
    </row>
    <row r="123" spans="1:12" x14ac:dyDescent="0.25">
      <c r="A123" s="13" t="s">
        <v>216</v>
      </c>
      <c r="B123">
        <v>1</v>
      </c>
      <c r="D123">
        <v>1</v>
      </c>
    </row>
    <row r="124" spans="1:12" x14ac:dyDescent="0.25">
      <c r="A124" s="13" t="s">
        <v>89</v>
      </c>
      <c r="B124">
        <v>1</v>
      </c>
      <c r="C124">
        <v>1</v>
      </c>
      <c r="D124">
        <v>2</v>
      </c>
    </row>
    <row r="125" spans="1:12" x14ac:dyDescent="0.25">
      <c r="A125" s="13" t="s">
        <v>185</v>
      </c>
      <c r="C125">
        <v>1</v>
      </c>
      <c r="D125">
        <v>1</v>
      </c>
    </row>
    <row r="126" spans="1:12" x14ac:dyDescent="0.25">
      <c r="A126" s="13" t="s">
        <v>70</v>
      </c>
      <c r="B126">
        <v>1</v>
      </c>
      <c r="D126">
        <v>1</v>
      </c>
    </row>
    <row r="127" spans="1:12" x14ac:dyDescent="0.25">
      <c r="A127" s="13" t="s">
        <v>117</v>
      </c>
      <c r="B127">
        <v>1</v>
      </c>
      <c r="D127">
        <v>1</v>
      </c>
      <c r="J127" s="18"/>
      <c r="L127" s="18"/>
    </row>
    <row r="128" spans="1:12" x14ac:dyDescent="0.25">
      <c r="A128" s="13" t="s">
        <v>236</v>
      </c>
      <c r="C128">
        <v>1</v>
      </c>
      <c r="D128">
        <v>1</v>
      </c>
    </row>
    <row r="129" spans="1:12" x14ac:dyDescent="0.25">
      <c r="A129" s="13" t="s">
        <v>126</v>
      </c>
      <c r="C129">
        <v>3</v>
      </c>
      <c r="D129">
        <v>3</v>
      </c>
      <c r="L129" s="18"/>
    </row>
    <row r="130" spans="1:12" x14ac:dyDescent="0.25">
      <c r="A130" s="13" t="s">
        <v>151</v>
      </c>
      <c r="B130">
        <v>1</v>
      </c>
      <c r="C130">
        <v>1</v>
      </c>
      <c r="D130">
        <v>2</v>
      </c>
      <c r="J130" s="18"/>
    </row>
    <row r="131" spans="1:12" x14ac:dyDescent="0.25">
      <c r="A131" s="13" t="s">
        <v>49</v>
      </c>
      <c r="C131">
        <v>1</v>
      </c>
      <c r="D131">
        <v>1</v>
      </c>
    </row>
    <row r="132" spans="1:12" x14ac:dyDescent="0.25">
      <c r="A132" s="13" t="s">
        <v>383</v>
      </c>
      <c r="B132">
        <v>25</v>
      </c>
      <c r="C132">
        <v>25</v>
      </c>
      <c r="D132">
        <v>50</v>
      </c>
    </row>
    <row r="134" spans="1:12" x14ac:dyDescent="0.25">
      <c r="J134" s="18"/>
    </row>
    <row r="136" spans="1:12" x14ac:dyDescent="0.25">
      <c r="A136" s="12" t="s">
        <v>417</v>
      </c>
      <c r="B136" s="12" t="s">
        <v>418</v>
      </c>
    </row>
    <row r="137" spans="1:12" x14ac:dyDescent="0.25">
      <c r="A137" s="12" t="s">
        <v>416</v>
      </c>
      <c r="B137" t="s">
        <v>21</v>
      </c>
      <c r="C137" t="s">
        <v>36</v>
      </c>
      <c r="D137" t="s">
        <v>383</v>
      </c>
    </row>
    <row r="138" spans="1:12" x14ac:dyDescent="0.25">
      <c r="A138" s="13" t="s">
        <v>252</v>
      </c>
      <c r="B138" s="14">
        <v>79870</v>
      </c>
      <c r="C138" s="14">
        <v>230500</v>
      </c>
      <c r="D138" s="14">
        <v>310370</v>
      </c>
    </row>
    <row r="139" spans="1:12" x14ac:dyDescent="0.25">
      <c r="A139" s="13" t="s">
        <v>249</v>
      </c>
      <c r="B139" s="14">
        <v>350200</v>
      </c>
      <c r="C139" s="14">
        <v>153150</v>
      </c>
      <c r="D139" s="14">
        <v>503350</v>
      </c>
    </row>
    <row r="140" spans="1:12" x14ac:dyDescent="0.25">
      <c r="A140" s="13" t="s">
        <v>250</v>
      </c>
      <c r="B140" s="14">
        <v>55010</v>
      </c>
      <c r="C140" s="14">
        <v>69500</v>
      </c>
      <c r="D140" s="14">
        <v>124510</v>
      </c>
    </row>
    <row r="141" spans="1:12" x14ac:dyDescent="0.25">
      <c r="A141" s="13" t="s">
        <v>246</v>
      </c>
      <c r="B141" s="14"/>
      <c r="C141" s="14">
        <v>85250</v>
      </c>
      <c r="D141" s="14">
        <v>85250</v>
      </c>
    </row>
    <row r="142" spans="1:12" x14ac:dyDescent="0.25">
      <c r="A142" s="13" t="s">
        <v>251</v>
      </c>
      <c r="B142" s="14">
        <v>174530</v>
      </c>
      <c r="C142" s="14">
        <v>437870</v>
      </c>
      <c r="D142" s="14">
        <v>612400</v>
      </c>
    </row>
    <row r="143" spans="1:12" x14ac:dyDescent="0.25">
      <c r="A143" s="13" t="s">
        <v>248</v>
      </c>
      <c r="B143" s="14">
        <v>10240</v>
      </c>
      <c r="C143" s="14">
        <v>323170</v>
      </c>
      <c r="D143" s="14">
        <v>333410</v>
      </c>
    </row>
    <row r="144" spans="1:12" x14ac:dyDescent="0.25">
      <c r="A144" s="13" t="s">
        <v>254</v>
      </c>
      <c r="B144" s="14">
        <v>130420</v>
      </c>
      <c r="C144" s="14">
        <v>44870</v>
      </c>
      <c r="D144" s="14">
        <v>175290</v>
      </c>
    </row>
    <row r="145" spans="1:11" x14ac:dyDescent="0.25">
      <c r="A145" s="13" t="s">
        <v>253</v>
      </c>
      <c r="B145" s="14">
        <v>210880</v>
      </c>
      <c r="C145" s="14"/>
      <c r="D145" s="14">
        <v>210880</v>
      </c>
    </row>
    <row r="146" spans="1:11" x14ac:dyDescent="0.25">
      <c r="A146" s="13" t="s">
        <v>255</v>
      </c>
      <c r="B146" s="14">
        <v>38970</v>
      </c>
      <c r="C146" s="14">
        <v>35390</v>
      </c>
      <c r="D146" s="14">
        <v>74360</v>
      </c>
    </row>
    <row r="147" spans="1:11" x14ac:dyDescent="0.25">
      <c r="A147" s="13" t="s">
        <v>247</v>
      </c>
      <c r="B147" s="14">
        <v>234060</v>
      </c>
      <c r="C147" s="14">
        <v>132370</v>
      </c>
      <c r="D147" s="14">
        <v>366430</v>
      </c>
    </row>
    <row r="148" spans="1:11" x14ac:dyDescent="0.25">
      <c r="A148" s="13" t="s">
        <v>245</v>
      </c>
      <c r="B148" s="14">
        <v>344470</v>
      </c>
      <c r="C148" s="14">
        <v>217950</v>
      </c>
      <c r="D148" s="14">
        <v>562420</v>
      </c>
    </row>
    <row r="149" spans="1:11" x14ac:dyDescent="0.25">
      <c r="A149" s="13" t="s">
        <v>383</v>
      </c>
      <c r="B149" s="14">
        <v>1628650</v>
      </c>
      <c r="C149" s="14">
        <v>1730020</v>
      </c>
      <c r="D149" s="14">
        <v>3358670</v>
      </c>
    </row>
    <row r="153" spans="1:11" x14ac:dyDescent="0.25">
      <c r="A153" s="12" t="s">
        <v>417</v>
      </c>
      <c r="B153" s="12" t="s">
        <v>418</v>
      </c>
    </row>
    <row r="154" spans="1:11" x14ac:dyDescent="0.25">
      <c r="A154" s="12" t="s">
        <v>415</v>
      </c>
      <c r="B154" t="s">
        <v>21</v>
      </c>
      <c r="C154" t="s">
        <v>36</v>
      </c>
      <c r="D154" t="s">
        <v>383</v>
      </c>
    </row>
    <row r="155" spans="1:11" x14ac:dyDescent="0.25">
      <c r="A155" s="13" t="s">
        <v>43</v>
      </c>
      <c r="B155" s="15">
        <v>110800</v>
      </c>
      <c r="C155" s="15">
        <v>88760</v>
      </c>
      <c r="D155" s="15">
        <v>199560</v>
      </c>
    </row>
    <row r="156" spans="1:11" x14ac:dyDescent="0.25">
      <c r="A156" s="13" t="s">
        <v>85</v>
      </c>
      <c r="B156" s="15">
        <v>56600</v>
      </c>
      <c r="C156" s="15"/>
      <c r="D156" s="15">
        <v>56600</v>
      </c>
    </row>
    <row r="157" spans="1:11" x14ac:dyDescent="0.25">
      <c r="A157" s="13" t="s">
        <v>201</v>
      </c>
      <c r="B157" s="15">
        <v>138090</v>
      </c>
      <c r="C157" s="15"/>
      <c r="D157" s="15">
        <v>138090</v>
      </c>
      <c r="F157" s="24"/>
      <c r="G157" s="24"/>
      <c r="H157" s="24"/>
      <c r="I157" s="24"/>
      <c r="J157" s="24"/>
      <c r="K157" s="24"/>
    </row>
    <row r="158" spans="1:11" x14ac:dyDescent="0.25">
      <c r="A158" s="13" t="s">
        <v>122</v>
      </c>
      <c r="B158" s="15"/>
      <c r="C158" s="15">
        <v>46350</v>
      </c>
      <c r="D158" s="15">
        <v>46350</v>
      </c>
      <c r="F158" s="24"/>
      <c r="G158" s="24"/>
      <c r="H158" s="24"/>
      <c r="I158" s="24"/>
      <c r="J158" s="24"/>
      <c r="K158" s="24"/>
    </row>
    <row r="159" spans="1:11" x14ac:dyDescent="0.25">
      <c r="A159" s="13" t="s">
        <v>135</v>
      </c>
      <c r="B159" s="15">
        <v>126240</v>
      </c>
      <c r="C159" s="15">
        <v>158970</v>
      </c>
      <c r="D159" s="15">
        <v>285210</v>
      </c>
      <c r="F159" s="24"/>
      <c r="G159" s="24"/>
      <c r="H159" s="24"/>
      <c r="I159" s="24"/>
      <c r="J159" s="24"/>
      <c r="K159" s="24"/>
    </row>
    <row r="160" spans="1:11" x14ac:dyDescent="0.25">
      <c r="A160" s="13" t="s">
        <v>230</v>
      </c>
      <c r="B160" s="15"/>
      <c r="C160" s="15">
        <v>35390</v>
      </c>
      <c r="D160" s="15">
        <v>35390</v>
      </c>
      <c r="E160" s="24"/>
      <c r="F160" s="24"/>
      <c r="G160" s="24"/>
      <c r="H160" s="24"/>
      <c r="I160" s="24"/>
      <c r="J160" s="24"/>
      <c r="K160" s="24"/>
    </row>
    <row r="161" spans="1:11" x14ac:dyDescent="0.25">
      <c r="A161" s="13" t="s">
        <v>30</v>
      </c>
      <c r="B161" s="15">
        <v>87470</v>
      </c>
      <c r="C161" s="15"/>
      <c r="D161" s="15">
        <v>87470</v>
      </c>
      <c r="E161" s="24"/>
      <c r="F161" s="24"/>
      <c r="G161" s="24"/>
      <c r="H161" s="24"/>
      <c r="I161" s="24"/>
      <c r="J161" s="24"/>
      <c r="K161" s="24"/>
    </row>
    <row r="162" spans="1:11" x14ac:dyDescent="0.25">
      <c r="A162" s="13" t="s">
        <v>139</v>
      </c>
      <c r="B162" s="15">
        <v>72550</v>
      </c>
      <c r="C162" s="15">
        <v>116400</v>
      </c>
      <c r="D162" s="15">
        <v>188950</v>
      </c>
      <c r="E162" s="24"/>
      <c r="F162" s="24"/>
      <c r="G162" s="24"/>
      <c r="H162" s="24"/>
      <c r="I162" s="24"/>
      <c r="J162" s="24"/>
      <c r="K162" s="24"/>
    </row>
    <row r="163" spans="1:11" x14ac:dyDescent="0.25">
      <c r="A163" s="13" t="s">
        <v>95</v>
      </c>
      <c r="B163" s="15"/>
      <c r="C163" s="15">
        <v>64860</v>
      </c>
      <c r="D163" s="15">
        <v>64860</v>
      </c>
      <c r="E163" s="24"/>
      <c r="F163" s="24"/>
      <c r="G163" s="24"/>
      <c r="H163" s="24"/>
      <c r="I163" s="24"/>
      <c r="J163" s="24"/>
      <c r="K163" s="24"/>
    </row>
    <row r="164" spans="1:11" x14ac:dyDescent="0.25">
      <c r="A164" s="13" t="s">
        <v>65</v>
      </c>
      <c r="B164" s="15"/>
      <c r="C164" s="15">
        <v>109900</v>
      </c>
      <c r="D164" s="15">
        <v>109900</v>
      </c>
      <c r="E164" s="24"/>
      <c r="F164" s="24"/>
      <c r="G164" s="24"/>
      <c r="H164" s="24"/>
      <c r="I164" s="24"/>
      <c r="J164" s="24"/>
      <c r="K164" s="24"/>
    </row>
    <row r="165" spans="1:11" x14ac:dyDescent="0.25">
      <c r="A165" s="13" t="s">
        <v>101</v>
      </c>
      <c r="B165" s="15">
        <v>10240</v>
      </c>
      <c r="C165" s="15"/>
      <c r="D165" s="15">
        <v>10240</v>
      </c>
      <c r="E165" s="24"/>
      <c r="F165" s="24"/>
      <c r="G165" s="24"/>
      <c r="H165" s="24"/>
      <c r="I165" s="24"/>
      <c r="J165" s="24"/>
      <c r="K165" s="24"/>
    </row>
    <row r="166" spans="1:11" x14ac:dyDescent="0.25">
      <c r="A166" s="13" t="s">
        <v>112</v>
      </c>
      <c r="B166" s="15"/>
      <c r="C166" s="15">
        <v>88790</v>
      </c>
      <c r="D166" s="15">
        <v>88790</v>
      </c>
      <c r="E166" s="24"/>
      <c r="F166" s="24"/>
      <c r="G166" s="24"/>
      <c r="H166" s="24"/>
      <c r="I166" s="24"/>
      <c r="J166" s="24"/>
      <c r="K166" s="24"/>
    </row>
    <row r="167" spans="1:11" x14ac:dyDescent="0.25">
      <c r="A167" s="13" t="s">
        <v>60</v>
      </c>
      <c r="B167" s="15">
        <v>182520</v>
      </c>
      <c r="C167" s="15">
        <v>32759.999999999996</v>
      </c>
      <c r="D167" s="15">
        <v>215280</v>
      </c>
      <c r="E167" s="24"/>
      <c r="F167" s="24"/>
      <c r="G167" s="24"/>
      <c r="H167" s="24"/>
      <c r="I167" s="24"/>
      <c r="J167" s="24"/>
      <c r="K167" s="24"/>
    </row>
    <row r="168" spans="1:11" x14ac:dyDescent="0.25">
      <c r="A168" s="13" t="s">
        <v>24</v>
      </c>
      <c r="B168" s="15">
        <v>170470</v>
      </c>
      <c r="C168" s="15">
        <v>71350</v>
      </c>
      <c r="D168" s="15">
        <v>241820</v>
      </c>
      <c r="E168" s="24"/>
      <c r="F168" s="24"/>
      <c r="G168" s="24"/>
      <c r="H168" s="24"/>
      <c r="I168" s="24"/>
      <c r="J168" s="24"/>
      <c r="K168" s="24"/>
    </row>
    <row r="169" spans="1:11" x14ac:dyDescent="0.25">
      <c r="A169" s="13" t="s">
        <v>172</v>
      </c>
      <c r="B169" s="15"/>
      <c r="C169" s="15">
        <v>95120</v>
      </c>
      <c r="D169" s="15">
        <v>95120</v>
      </c>
      <c r="E169" s="24"/>
      <c r="F169" s="24"/>
      <c r="G169" s="24"/>
      <c r="H169" s="24"/>
      <c r="I169" s="24"/>
      <c r="J169" s="24"/>
      <c r="K169" s="24"/>
    </row>
    <row r="170" spans="1:11" x14ac:dyDescent="0.25">
      <c r="A170" s="13" t="s">
        <v>131</v>
      </c>
      <c r="B170" s="15">
        <v>96470</v>
      </c>
      <c r="C170" s="15"/>
      <c r="D170" s="15">
        <v>96470</v>
      </c>
      <c r="E170" s="24"/>
      <c r="F170" s="24"/>
      <c r="G170" s="24"/>
      <c r="H170" s="24"/>
      <c r="I170" s="24"/>
      <c r="J170" s="24"/>
      <c r="K170" s="24"/>
    </row>
    <row r="171" spans="1:11" x14ac:dyDescent="0.25">
      <c r="A171" s="13" t="s">
        <v>55</v>
      </c>
      <c r="B171" s="15"/>
      <c r="C171" s="15">
        <v>51130</v>
      </c>
      <c r="D171" s="15">
        <v>51130</v>
      </c>
      <c r="E171" s="24"/>
      <c r="F171" s="24"/>
      <c r="G171" s="24"/>
      <c r="H171" s="24"/>
      <c r="I171" s="24"/>
      <c r="J171" s="24"/>
      <c r="K171" s="24"/>
    </row>
    <row r="172" spans="1:11" x14ac:dyDescent="0.25">
      <c r="A172" s="13" t="s">
        <v>38</v>
      </c>
      <c r="B172" s="15">
        <v>38970</v>
      </c>
      <c r="C172" s="15">
        <v>64720</v>
      </c>
      <c r="D172" s="15">
        <v>103690</v>
      </c>
      <c r="E172" s="24"/>
      <c r="F172" s="24"/>
      <c r="G172" s="24"/>
      <c r="H172" s="24"/>
      <c r="I172" s="24"/>
      <c r="J172" s="24"/>
      <c r="K172" s="24"/>
    </row>
    <row r="173" spans="1:11" x14ac:dyDescent="0.25">
      <c r="A173" s="13" t="s">
        <v>80</v>
      </c>
      <c r="B173" s="15"/>
      <c r="C173" s="15">
        <v>99610</v>
      </c>
      <c r="D173" s="15">
        <v>99610</v>
      </c>
      <c r="E173" s="24"/>
      <c r="F173" s="24"/>
      <c r="G173" s="24"/>
      <c r="H173" s="24"/>
      <c r="I173" s="24"/>
      <c r="J173" s="24"/>
      <c r="K173" s="24"/>
    </row>
    <row r="174" spans="1:11" x14ac:dyDescent="0.25">
      <c r="A174" s="13" t="s">
        <v>162</v>
      </c>
      <c r="B174" s="15">
        <v>69040</v>
      </c>
      <c r="C174" s="15"/>
      <c r="D174" s="15">
        <v>69040</v>
      </c>
      <c r="E174" s="24"/>
      <c r="F174" s="24"/>
      <c r="G174" s="24"/>
      <c r="H174" s="24"/>
      <c r="I174" s="24"/>
      <c r="J174" s="24"/>
      <c r="K174" s="24"/>
    </row>
    <row r="175" spans="1:11" x14ac:dyDescent="0.25">
      <c r="A175" s="13" t="s">
        <v>206</v>
      </c>
      <c r="B175" s="15">
        <v>102000</v>
      </c>
      <c r="C175" s="15"/>
      <c r="D175" s="15">
        <v>102000</v>
      </c>
      <c r="E175" s="24"/>
      <c r="F175" s="24"/>
      <c r="G175" s="24"/>
      <c r="H175" s="24"/>
      <c r="I175" s="24"/>
      <c r="J175" s="24"/>
      <c r="K175" s="24"/>
    </row>
    <row r="176" spans="1:11" x14ac:dyDescent="0.25">
      <c r="A176" s="13" t="s">
        <v>108</v>
      </c>
      <c r="B176" s="15"/>
      <c r="C176" s="15">
        <v>80760</v>
      </c>
      <c r="D176" s="15">
        <v>80760</v>
      </c>
      <c r="E176" s="24"/>
      <c r="F176" s="24"/>
      <c r="G176" s="24"/>
      <c r="H176" s="24"/>
      <c r="I176" s="24"/>
      <c r="J176" s="24"/>
      <c r="K176" s="24"/>
    </row>
    <row r="177" spans="1:16" x14ac:dyDescent="0.25">
      <c r="A177" s="13" t="s">
        <v>178</v>
      </c>
      <c r="B177" s="15"/>
      <c r="C177" s="15">
        <v>108400</v>
      </c>
      <c r="D177" s="15">
        <v>108400</v>
      </c>
      <c r="E177" s="24"/>
      <c r="F177" s="24"/>
      <c r="G177" s="24"/>
      <c r="H177" s="24"/>
      <c r="I177" s="24"/>
      <c r="J177" s="24"/>
      <c r="K177" s="24"/>
    </row>
    <row r="178" spans="1:16" x14ac:dyDescent="0.25">
      <c r="A178" s="13" t="s">
        <v>216</v>
      </c>
      <c r="B178" s="15">
        <v>39940</v>
      </c>
      <c r="C178" s="15"/>
      <c r="D178" s="15">
        <v>39940</v>
      </c>
      <c r="E178" s="24"/>
      <c r="F178" s="24"/>
      <c r="G178" s="24"/>
      <c r="H178" s="24"/>
      <c r="I178" s="24"/>
      <c r="J178" s="24"/>
      <c r="K178" s="24"/>
    </row>
    <row r="179" spans="1:16" x14ac:dyDescent="0.25">
      <c r="A179" s="13" t="s">
        <v>89</v>
      </c>
      <c r="B179" s="15">
        <v>117400</v>
      </c>
      <c r="C179" s="15">
        <v>28460</v>
      </c>
      <c r="D179" s="15">
        <v>145860</v>
      </c>
      <c r="E179" s="24"/>
      <c r="F179" s="24"/>
      <c r="G179" s="24"/>
      <c r="H179" s="24"/>
      <c r="I179" s="24"/>
      <c r="J179" s="24"/>
      <c r="K179" s="24"/>
    </row>
    <row r="180" spans="1:16" x14ac:dyDescent="0.25">
      <c r="A180" s="13" t="s">
        <v>185</v>
      </c>
      <c r="B180" s="15"/>
      <c r="C180" s="15">
        <v>33970</v>
      </c>
      <c r="D180" s="15">
        <v>33970</v>
      </c>
      <c r="E180" s="24"/>
      <c r="F180" s="24"/>
      <c r="G180" s="24"/>
      <c r="H180" s="24"/>
      <c r="I180" s="24"/>
      <c r="J180" s="24"/>
      <c r="K180" s="24"/>
    </row>
    <row r="181" spans="1:16" x14ac:dyDescent="0.25">
      <c r="A181" s="13" t="s">
        <v>70</v>
      </c>
      <c r="B181" s="15">
        <v>60060</v>
      </c>
      <c r="C181" s="15"/>
      <c r="D181" s="15">
        <v>60060</v>
      </c>
      <c r="E181" s="24"/>
      <c r="F181" s="24"/>
      <c r="G181" s="24"/>
      <c r="H181" s="24"/>
      <c r="I181" s="24"/>
      <c r="J181" s="24"/>
      <c r="K181" s="24"/>
    </row>
    <row r="182" spans="1:16" x14ac:dyDescent="0.25">
      <c r="A182" s="13" t="s">
        <v>117</v>
      </c>
      <c r="B182" s="15">
        <v>63530</v>
      </c>
      <c r="C182" s="15"/>
      <c r="D182" s="15">
        <v>63530</v>
      </c>
      <c r="E182" s="24"/>
      <c r="F182" s="24"/>
      <c r="G182" s="24"/>
      <c r="H182" s="24"/>
      <c r="I182" s="24"/>
      <c r="J182" s="24"/>
      <c r="K182" s="24"/>
    </row>
    <row r="183" spans="1:16" x14ac:dyDescent="0.25">
      <c r="A183" s="13" t="s">
        <v>236</v>
      </c>
      <c r="B183" s="15"/>
      <c r="C183" s="15">
        <v>20530</v>
      </c>
      <c r="D183" s="15">
        <v>20530</v>
      </c>
      <c r="E183" s="24"/>
      <c r="F183" s="24"/>
      <c r="G183" s="24"/>
      <c r="H183" s="24"/>
      <c r="I183" s="24"/>
      <c r="J183" s="24"/>
      <c r="K183" s="24"/>
    </row>
    <row r="184" spans="1:16" x14ac:dyDescent="0.25">
      <c r="A184" s="13" t="s">
        <v>126</v>
      </c>
      <c r="B184" s="15"/>
      <c r="C184" s="15">
        <v>235830</v>
      </c>
      <c r="D184" s="15">
        <v>235830</v>
      </c>
      <c r="E184" s="24"/>
      <c r="F184" s="24"/>
      <c r="G184" s="24"/>
      <c r="H184" s="24"/>
      <c r="I184" s="24"/>
      <c r="J184" s="24"/>
      <c r="K184" s="24"/>
    </row>
    <row r="185" spans="1:16" x14ac:dyDescent="0.25">
      <c r="A185" s="13" t="s">
        <v>151</v>
      </c>
      <c r="B185" s="15">
        <v>86260</v>
      </c>
      <c r="C185" s="15">
        <v>41040</v>
      </c>
      <c r="D185" s="15">
        <v>127300</v>
      </c>
      <c r="E185" s="24"/>
      <c r="F185" s="24"/>
      <c r="G185" s="24"/>
      <c r="H185" s="24"/>
      <c r="I185" s="24"/>
      <c r="J185" s="24"/>
      <c r="K185" s="24"/>
    </row>
    <row r="186" spans="1:16" x14ac:dyDescent="0.25">
      <c r="A186" s="13" t="s">
        <v>49</v>
      </c>
      <c r="B186" s="15"/>
      <c r="C186" s="15">
        <v>56920</v>
      </c>
      <c r="D186" s="15">
        <v>56920</v>
      </c>
      <c r="E186" s="24"/>
      <c r="F186" s="24"/>
      <c r="G186" s="24"/>
      <c r="H186" s="24"/>
      <c r="I186" s="24"/>
      <c r="J186" s="24"/>
      <c r="K186" s="24"/>
    </row>
    <row r="187" spans="1:16" x14ac:dyDescent="0.25">
      <c r="A187" s="13" t="s">
        <v>383</v>
      </c>
      <c r="B187" s="15">
        <v>1628650</v>
      </c>
      <c r="C187" s="15">
        <v>1730020</v>
      </c>
      <c r="D187" s="15">
        <v>3358670</v>
      </c>
      <c r="E187" s="24"/>
      <c r="F187" s="24"/>
      <c r="G187" s="24"/>
      <c r="H187" s="24"/>
      <c r="I187" s="24"/>
      <c r="J187" s="24"/>
      <c r="K187" s="24"/>
    </row>
    <row r="188" spans="1:16" x14ac:dyDescent="0.25">
      <c r="E188" s="24"/>
      <c r="F188" s="24"/>
      <c r="G188" s="24"/>
      <c r="H188" s="24"/>
      <c r="I188" s="24"/>
      <c r="J188" s="24"/>
      <c r="K188" s="24"/>
    </row>
    <row r="189" spans="1:16" x14ac:dyDescent="0.25">
      <c r="E189" s="24"/>
      <c r="F189" s="24"/>
      <c r="G189" s="24"/>
      <c r="H189" s="24"/>
      <c r="I189" s="24"/>
      <c r="J189" s="24"/>
      <c r="K189" s="24"/>
    </row>
    <row r="190" spans="1:16" x14ac:dyDescent="0.25">
      <c r="A190" s="12" t="s">
        <v>419</v>
      </c>
      <c r="B190" s="12" t="s">
        <v>412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x14ac:dyDescent="0.25">
      <c r="A191" s="12" t="s">
        <v>415</v>
      </c>
      <c r="B191" t="s">
        <v>21</v>
      </c>
      <c r="C191" t="s">
        <v>36</v>
      </c>
      <c r="D191" t="s">
        <v>383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x14ac:dyDescent="0.25">
      <c r="A192" s="13" t="s">
        <v>230</v>
      </c>
      <c r="B192" s="16"/>
      <c r="C192" s="16">
        <v>46</v>
      </c>
      <c r="D192" s="16">
        <v>46</v>
      </c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x14ac:dyDescent="0.25">
      <c r="A193" s="13" t="s">
        <v>43</v>
      </c>
      <c r="B193" s="16">
        <v>49</v>
      </c>
      <c r="C193" s="16">
        <v>49</v>
      </c>
      <c r="D193" s="16">
        <v>49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x14ac:dyDescent="0.25">
      <c r="A194" s="13" t="s">
        <v>38</v>
      </c>
      <c r="B194" s="16">
        <v>50</v>
      </c>
      <c r="C194" s="16">
        <v>53</v>
      </c>
      <c r="D194" s="16">
        <v>51.5</v>
      </c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x14ac:dyDescent="0.25">
      <c r="A195" s="13" t="s">
        <v>122</v>
      </c>
      <c r="B195" s="16"/>
      <c r="C195" s="16">
        <v>55</v>
      </c>
      <c r="D195" s="16">
        <v>55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x14ac:dyDescent="0.25">
      <c r="A196" s="13" t="s">
        <v>201</v>
      </c>
      <c r="B196" s="16">
        <v>55.5</v>
      </c>
      <c r="C196" s="16"/>
      <c r="D196" s="16">
        <v>55.5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x14ac:dyDescent="0.25">
      <c r="A197" s="13" t="s">
        <v>206</v>
      </c>
      <c r="B197" s="16">
        <v>56</v>
      </c>
      <c r="C197" s="16"/>
      <c r="D197" s="16">
        <v>56</v>
      </c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x14ac:dyDescent="0.25">
      <c r="A198" s="13" t="s">
        <v>172</v>
      </c>
      <c r="B198" s="16"/>
      <c r="C198" s="16">
        <v>57</v>
      </c>
      <c r="D198" s="16">
        <v>57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x14ac:dyDescent="0.25">
      <c r="A199" s="13" t="s">
        <v>60</v>
      </c>
      <c r="B199" s="16">
        <v>63.666666666666664</v>
      </c>
      <c r="C199" s="16">
        <v>63</v>
      </c>
      <c r="D199" s="16">
        <v>63.5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x14ac:dyDescent="0.25">
      <c r="A200" s="13" t="s">
        <v>216</v>
      </c>
      <c r="B200" s="16">
        <v>64</v>
      </c>
      <c r="C200" s="16"/>
      <c r="D200" s="16">
        <v>64</v>
      </c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x14ac:dyDescent="0.25">
      <c r="A201" s="13" t="s">
        <v>70</v>
      </c>
      <c r="B201" s="16">
        <v>65</v>
      </c>
      <c r="C201" s="16"/>
      <c r="D201" s="16">
        <v>65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x14ac:dyDescent="0.25">
      <c r="A202" s="13" t="s">
        <v>95</v>
      </c>
      <c r="B202" s="16"/>
      <c r="C202" s="16">
        <v>68</v>
      </c>
      <c r="D202" s="16">
        <v>68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x14ac:dyDescent="0.25">
      <c r="A203" s="13" t="s">
        <v>117</v>
      </c>
      <c r="B203" s="16">
        <v>70</v>
      </c>
      <c r="C203" s="16"/>
      <c r="D203" s="16">
        <v>70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x14ac:dyDescent="0.25">
      <c r="A204" s="13" t="s">
        <v>112</v>
      </c>
      <c r="B204" s="16"/>
      <c r="C204" s="16">
        <v>71</v>
      </c>
      <c r="D204" s="16">
        <v>71</v>
      </c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x14ac:dyDescent="0.25">
      <c r="A205" s="13" t="s">
        <v>162</v>
      </c>
      <c r="B205" s="16">
        <v>75</v>
      </c>
      <c r="C205" s="16"/>
      <c r="D205" s="16">
        <v>75</v>
      </c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x14ac:dyDescent="0.25">
      <c r="A206" s="13" t="s">
        <v>126</v>
      </c>
      <c r="B206" s="16"/>
      <c r="C206" s="16">
        <v>78.333333333333329</v>
      </c>
      <c r="D206" s="16">
        <v>78.333333333333329</v>
      </c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x14ac:dyDescent="0.25">
      <c r="A207" s="13" t="s">
        <v>139</v>
      </c>
      <c r="B207" s="16">
        <v>80.5</v>
      </c>
      <c r="C207" s="16">
        <v>78</v>
      </c>
      <c r="D207" s="16">
        <v>79.666666666666671</v>
      </c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x14ac:dyDescent="0.25">
      <c r="A208" s="13" t="s">
        <v>24</v>
      </c>
      <c r="B208" s="16">
        <v>90</v>
      </c>
      <c r="C208" s="16">
        <v>60</v>
      </c>
      <c r="D208" s="16">
        <v>80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x14ac:dyDescent="0.25">
      <c r="A209" s="13" t="s">
        <v>135</v>
      </c>
      <c r="B209" s="16">
        <v>69</v>
      </c>
      <c r="C209" s="16">
        <v>98.5</v>
      </c>
      <c r="D209" s="16">
        <v>80.8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x14ac:dyDescent="0.25">
      <c r="A210" s="13" t="s">
        <v>55</v>
      </c>
      <c r="B210" s="16"/>
      <c r="C210" s="16">
        <v>83</v>
      </c>
      <c r="D210" s="16">
        <v>83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x14ac:dyDescent="0.25">
      <c r="A211" s="13" t="s">
        <v>89</v>
      </c>
      <c r="B211" s="16">
        <v>71</v>
      </c>
      <c r="C211" s="16">
        <v>96</v>
      </c>
      <c r="D211" s="16">
        <v>83.5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x14ac:dyDescent="0.25">
      <c r="A212" s="13" t="s">
        <v>131</v>
      </c>
      <c r="B212" s="16">
        <v>84</v>
      </c>
      <c r="C212" s="16"/>
      <c r="D212" s="16">
        <v>84</v>
      </c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x14ac:dyDescent="0.25">
      <c r="A213" s="13" t="s">
        <v>30</v>
      </c>
      <c r="B213" s="16">
        <v>84</v>
      </c>
      <c r="C213" s="16"/>
      <c r="D213" s="16">
        <v>84</v>
      </c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x14ac:dyDescent="0.25">
      <c r="A214" s="13" t="s">
        <v>49</v>
      </c>
      <c r="B214" s="16"/>
      <c r="C214" s="16">
        <v>85</v>
      </c>
      <c r="D214" s="16">
        <v>85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x14ac:dyDescent="0.25">
      <c r="A215" s="13" t="s">
        <v>151</v>
      </c>
      <c r="B215" s="16">
        <v>82</v>
      </c>
      <c r="C215" s="16">
        <v>93</v>
      </c>
      <c r="D215" s="16">
        <v>87.5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x14ac:dyDescent="0.25">
      <c r="A216" s="13" t="s">
        <v>178</v>
      </c>
      <c r="B216" s="16"/>
      <c r="C216" s="16">
        <v>89</v>
      </c>
      <c r="D216" s="16">
        <v>89</v>
      </c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x14ac:dyDescent="0.25">
      <c r="A217" s="13" t="s">
        <v>236</v>
      </c>
      <c r="B217" s="16"/>
      <c r="C217" s="16">
        <v>93</v>
      </c>
      <c r="D217" s="16">
        <v>93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x14ac:dyDescent="0.25">
      <c r="A218" s="13" t="s">
        <v>185</v>
      </c>
      <c r="B218" s="16"/>
      <c r="C218" s="16">
        <v>96</v>
      </c>
      <c r="D218" s="16">
        <v>96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x14ac:dyDescent="0.25">
      <c r="A219" s="13" t="s">
        <v>85</v>
      </c>
      <c r="B219" s="16">
        <v>101</v>
      </c>
      <c r="C219" s="16"/>
      <c r="D219" s="16">
        <v>101</v>
      </c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x14ac:dyDescent="0.25">
      <c r="A220" s="13" t="s">
        <v>80</v>
      </c>
      <c r="B220" s="16"/>
      <c r="C220" s="16">
        <v>104</v>
      </c>
      <c r="D220" s="16">
        <v>104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x14ac:dyDescent="0.25">
      <c r="A221" s="13" t="s">
        <v>101</v>
      </c>
      <c r="B221" s="16">
        <v>105</v>
      </c>
      <c r="C221" s="16"/>
      <c r="D221" s="16">
        <v>105</v>
      </c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</row>
    <row r="222" spans="1:16" x14ac:dyDescent="0.25">
      <c r="A222" s="13" t="s">
        <v>108</v>
      </c>
      <c r="B222" s="16"/>
      <c r="C222" s="16">
        <v>106</v>
      </c>
      <c r="D222" s="16">
        <v>106</v>
      </c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</row>
    <row r="223" spans="1:16" x14ac:dyDescent="0.25">
      <c r="A223" s="13" t="s">
        <v>65</v>
      </c>
      <c r="B223" s="16"/>
      <c r="C223" s="16">
        <v>106</v>
      </c>
      <c r="D223" s="16">
        <v>106</v>
      </c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</row>
    <row r="224" spans="1:16" x14ac:dyDescent="0.25">
      <c r="A224" s="13" t="s">
        <v>383</v>
      </c>
      <c r="B224" s="16">
        <v>72.239999999999995</v>
      </c>
      <c r="C224" s="16">
        <v>79.319999999999993</v>
      </c>
      <c r="D224" s="16">
        <v>75.78</v>
      </c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</row>
    <row r="225" spans="1:16" x14ac:dyDescent="0.25"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</row>
    <row r="226" spans="1:16" x14ac:dyDescent="0.25"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</row>
    <row r="227" spans="1:16" x14ac:dyDescent="0.25"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</row>
    <row r="228" spans="1:16" x14ac:dyDescent="0.25">
      <c r="A228" s="12" t="s">
        <v>420</v>
      </c>
      <c r="B228" s="12" t="s">
        <v>418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</row>
    <row r="229" spans="1:16" x14ac:dyDescent="0.25">
      <c r="A229" s="12" t="s">
        <v>415</v>
      </c>
      <c r="B229" t="s">
        <v>21</v>
      </c>
      <c r="C229" t="s">
        <v>36</v>
      </c>
      <c r="D229" t="s">
        <v>383</v>
      </c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</row>
    <row r="230" spans="1:16" x14ac:dyDescent="0.25">
      <c r="A230" s="13" t="s">
        <v>43</v>
      </c>
      <c r="B230" s="21">
        <v>110800</v>
      </c>
      <c r="C230" s="21">
        <v>88760</v>
      </c>
      <c r="D230" s="21">
        <v>99780</v>
      </c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</row>
    <row r="231" spans="1:16" x14ac:dyDescent="0.25">
      <c r="A231" s="13" t="s">
        <v>85</v>
      </c>
      <c r="B231" s="21">
        <v>56600</v>
      </c>
      <c r="C231" s="21"/>
      <c r="D231" s="21">
        <v>56600</v>
      </c>
      <c r="E231" s="24"/>
    </row>
    <row r="232" spans="1:16" x14ac:dyDescent="0.25">
      <c r="A232" s="13" t="s">
        <v>201</v>
      </c>
      <c r="B232" s="21">
        <v>69045</v>
      </c>
      <c r="C232" s="21"/>
      <c r="D232" s="21">
        <v>69045</v>
      </c>
      <c r="E232" s="24"/>
    </row>
    <row r="233" spans="1:16" x14ac:dyDescent="0.25">
      <c r="A233" s="13" t="s">
        <v>122</v>
      </c>
      <c r="B233" s="21"/>
      <c r="C233" s="21">
        <v>46350</v>
      </c>
      <c r="D233" s="21">
        <v>46350</v>
      </c>
      <c r="E233" s="24"/>
    </row>
    <row r="234" spans="1:16" x14ac:dyDescent="0.25">
      <c r="A234" s="13" t="s">
        <v>135</v>
      </c>
      <c r="B234" s="21">
        <v>42080</v>
      </c>
      <c r="C234" s="21">
        <v>79485</v>
      </c>
      <c r="D234" s="21">
        <v>57042</v>
      </c>
      <c r="E234" s="24"/>
      <c r="F234" s="24"/>
      <c r="G234" s="24"/>
      <c r="H234" s="24"/>
      <c r="I234" s="24"/>
      <c r="J234" s="24"/>
      <c r="K234" s="24"/>
      <c r="L234" s="24"/>
    </row>
    <row r="235" spans="1:16" x14ac:dyDescent="0.25">
      <c r="A235" s="13" t="s">
        <v>230</v>
      </c>
      <c r="B235" s="21"/>
      <c r="C235" s="21">
        <v>35390</v>
      </c>
      <c r="D235" s="21">
        <v>35390</v>
      </c>
      <c r="E235" s="24"/>
      <c r="F235" s="24"/>
      <c r="G235" s="24"/>
      <c r="H235" s="24"/>
      <c r="I235" s="24"/>
      <c r="J235" s="24"/>
      <c r="K235" s="24"/>
      <c r="L235" s="24"/>
    </row>
    <row r="236" spans="1:16" x14ac:dyDescent="0.25">
      <c r="A236" s="13" t="s">
        <v>30</v>
      </c>
      <c r="B236" s="21">
        <v>87470</v>
      </c>
      <c r="C236" s="21"/>
      <c r="D236" s="21">
        <v>87470</v>
      </c>
      <c r="E236" s="24"/>
      <c r="F236" s="24"/>
      <c r="G236" s="24"/>
      <c r="H236" s="24"/>
      <c r="I236" s="24"/>
      <c r="J236" s="24"/>
      <c r="K236" s="24"/>
      <c r="L236" s="24"/>
    </row>
    <row r="237" spans="1:16" x14ac:dyDescent="0.25">
      <c r="A237" s="13" t="s">
        <v>139</v>
      </c>
      <c r="B237" s="21">
        <v>36275</v>
      </c>
      <c r="C237" s="21">
        <v>116400</v>
      </c>
      <c r="D237" s="21">
        <v>62983.333333333336</v>
      </c>
      <c r="E237" s="24"/>
      <c r="F237" s="24"/>
      <c r="G237" s="24"/>
      <c r="H237" s="24"/>
      <c r="I237" s="24"/>
      <c r="J237" s="24"/>
      <c r="K237" s="24"/>
      <c r="L237" s="24"/>
    </row>
    <row r="238" spans="1:16" x14ac:dyDescent="0.25">
      <c r="A238" s="13" t="s">
        <v>95</v>
      </c>
      <c r="B238" s="21"/>
      <c r="C238" s="21">
        <v>64860</v>
      </c>
      <c r="D238" s="21">
        <v>64860</v>
      </c>
      <c r="F238" s="24"/>
      <c r="G238" s="24"/>
      <c r="H238" s="24"/>
      <c r="I238" s="24"/>
      <c r="J238" s="24"/>
      <c r="K238" s="24"/>
      <c r="L238" s="24"/>
    </row>
    <row r="239" spans="1:16" x14ac:dyDescent="0.25">
      <c r="A239" s="13" t="s">
        <v>65</v>
      </c>
      <c r="B239" s="21"/>
      <c r="C239" s="21">
        <v>109900</v>
      </c>
      <c r="D239" s="21">
        <v>109900</v>
      </c>
      <c r="F239" s="24"/>
      <c r="G239" s="24"/>
      <c r="H239" s="24"/>
      <c r="I239" s="24"/>
      <c r="J239" s="24"/>
      <c r="K239" s="24"/>
      <c r="L239" s="24"/>
    </row>
    <row r="240" spans="1:16" x14ac:dyDescent="0.25">
      <c r="A240" s="13" t="s">
        <v>101</v>
      </c>
      <c r="B240" s="21">
        <v>10240</v>
      </c>
      <c r="C240" s="21"/>
      <c r="D240" s="21">
        <v>10240</v>
      </c>
      <c r="F240" s="24"/>
      <c r="G240" s="24"/>
      <c r="H240" s="24"/>
      <c r="I240" s="24"/>
      <c r="J240" s="24"/>
      <c r="K240" s="24"/>
      <c r="L240" s="24"/>
    </row>
    <row r="241" spans="1:12" x14ac:dyDescent="0.25">
      <c r="A241" s="13" t="s">
        <v>112</v>
      </c>
      <c r="B241" s="21"/>
      <c r="C241" s="21">
        <v>88790</v>
      </c>
      <c r="D241" s="21">
        <v>88790</v>
      </c>
      <c r="F241" s="24"/>
      <c r="G241" s="24"/>
      <c r="H241" s="24"/>
      <c r="I241" s="24"/>
      <c r="J241" s="24"/>
      <c r="K241" s="24"/>
      <c r="L241" s="24"/>
    </row>
    <row r="242" spans="1:12" x14ac:dyDescent="0.25">
      <c r="A242" s="13" t="s">
        <v>60</v>
      </c>
      <c r="B242" s="21">
        <v>60840</v>
      </c>
      <c r="C242" s="21">
        <v>32759.999999999996</v>
      </c>
      <c r="D242" s="21">
        <v>53820</v>
      </c>
      <c r="F242" s="24"/>
      <c r="G242" s="24"/>
      <c r="H242" s="24"/>
      <c r="I242" s="24"/>
      <c r="J242" s="24"/>
      <c r="K242" s="24"/>
      <c r="L242" s="24"/>
    </row>
    <row r="243" spans="1:12" x14ac:dyDescent="0.25">
      <c r="A243" s="13" t="s">
        <v>24</v>
      </c>
      <c r="B243" s="21">
        <v>85235</v>
      </c>
      <c r="C243" s="21">
        <v>71350</v>
      </c>
      <c r="D243" s="21">
        <v>80606.666666666672</v>
      </c>
      <c r="F243" s="24"/>
      <c r="G243" s="24"/>
      <c r="H243" s="24"/>
      <c r="I243" s="24"/>
      <c r="J243" s="24"/>
      <c r="K243" s="24"/>
      <c r="L243" s="24"/>
    </row>
    <row r="244" spans="1:12" x14ac:dyDescent="0.25">
      <c r="A244" s="13" t="s">
        <v>172</v>
      </c>
      <c r="B244" s="21"/>
      <c r="C244" s="21">
        <v>95120</v>
      </c>
      <c r="D244" s="21">
        <v>95120</v>
      </c>
      <c r="F244" s="24"/>
      <c r="G244" s="24"/>
      <c r="H244" s="24"/>
      <c r="I244" s="24"/>
      <c r="J244" s="24"/>
      <c r="K244" s="24"/>
      <c r="L244" s="24"/>
    </row>
    <row r="245" spans="1:12" x14ac:dyDescent="0.25">
      <c r="A245" s="13" t="s">
        <v>131</v>
      </c>
      <c r="B245" s="21">
        <v>96470</v>
      </c>
      <c r="C245" s="21"/>
      <c r="D245" s="21">
        <v>96470</v>
      </c>
      <c r="F245" s="24"/>
      <c r="G245" s="24"/>
      <c r="H245" s="24"/>
      <c r="I245" s="24"/>
      <c r="J245" s="24"/>
      <c r="K245" s="24"/>
      <c r="L245" s="24"/>
    </row>
    <row r="246" spans="1:12" x14ac:dyDescent="0.25">
      <c r="A246" s="13" t="s">
        <v>55</v>
      </c>
      <c r="B246" s="21"/>
      <c r="C246" s="21">
        <v>51130</v>
      </c>
      <c r="D246" s="21">
        <v>51130</v>
      </c>
      <c r="F246" s="24"/>
      <c r="G246" s="24"/>
      <c r="H246" s="24"/>
      <c r="I246" s="24"/>
      <c r="J246" s="24"/>
      <c r="K246" s="24"/>
      <c r="L246" s="24"/>
    </row>
    <row r="247" spans="1:12" x14ac:dyDescent="0.25">
      <c r="A247" s="13" t="s">
        <v>38</v>
      </c>
      <c r="B247" s="21">
        <v>38970</v>
      </c>
      <c r="C247" s="21">
        <v>64720</v>
      </c>
      <c r="D247" s="21">
        <v>51845</v>
      </c>
      <c r="F247" s="24"/>
      <c r="G247" s="24"/>
      <c r="H247" s="24"/>
      <c r="I247" s="24"/>
      <c r="J247" s="24"/>
      <c r="K247" s="24"/>
      <c r="L247" s="24"/>
    </row>
    <row r="248" spans="1:12" x14ac:dyDescent="0.25">
      <c r="A248" s="13" t="s">
        <v>80</v>
      </c>
      <c r="B248" s="21"/>
      <c r="C248" s="21">
        <v>99610</v>
      </c>
      <c r="D248" s="21">
        <v>99610</v>
      </c>
      <c r="F248" s="24"/>
      <c r="G248" s="24"/>
      <c r="H248" s="24"/>
      <c r="I248" s="24"/>
      <c r="J248" s="24"/>
      <c r="K248" s="24"/>
      <c r="L248" s="24"/>
    </row>
    <row r="249" spans="1:12" x14ac:dyDescent="0.25">
      <c r="A249" s="13" t="s">
        <v>162</v>
      </c>
      <c r="B249" s="21">
        <v>69040</v>
      </c>
      <c r="C249" s="21"/>
      <c r="D249" s="21">
        <v>69040</v>
      </c>
      <c r="F249" s="24"/>
      <c r="G249" s="24"/>
      <c r="H249" s="24"/>
      <c r="I249" s="24"/>
      <c r="J249" s="24"/>
      <c r="K249" s="24"/>
      <c r="L249" s="24"/>
    </row>
    <row r="250" spans="1:12" x14ac:dyDescent="0.25">
      <c r="A250" s="13" t="s">
        <v>206</v>
      </c>
      <c r="B250" s="21">
        <v>102000</v>
      </c>
      <c r="C250" s="21"/>
      <c r="D250" s="21">
        <v>102000</v>
      </c>
      <c r="F250" s="24"/>
      <c r="G250" s="24"/>
      <c r="H250" s="24"/>
      <c r="I250" s="24"/>
      <c r="J250" s="24"/>
      <c r="K250" s="24"/>
      <c r="L250" s="24"/>
    </row>
    <row r="251" spans="1:12" x14ac:dyDescent="0.25">
      <c r="A251" s="13" t="s">
        <v>108</v>
      </c>
      <c r="B251" s="21"/>
      <c r="C251" s="21">
        <v>80760</v>
      </c>
      <c r="D251" s="21">
        <v>80760</v>
      </c>
      <c r="F251" s="24"/>
      <c r="G251" s="24"/>
      <c r="H251" s="24"/>
      <c r="I251" s="24"/>
      <c r="J251" s="24"/>
      <c r="K251" s="24"/>
      <c r="L251" s="24"/>
    </row>
    <row r="252" spans="1:12" x14ac:dyDescent="0.25">
      <c r="A252" s="13" t="s">
        <v>178</v>
      </c>
      <c r="B252" s="21"/>
      <c r="C252" s="21">
        <v>108400</v>
      </c>
      <c r="D252" s="21">
        <v>108400</v>
      </c>
      <c r="F252" s="24"/>
      <c r="G252" s="24"/>
      <c r="H252" s="24"/>
      <c r="I252" s="24"/>
      <c r="J252" s="24"/>
      <c r="K252" s="24"/>
      <c r="L252" s="24"/>
    </row>
    <row r="253" spans="1:12" x14ac:dyDescent="0.25">
      <c r="A253" s="13" t="s">
        <v>216</v>
      </c>
      <c r="B253" s="21">
        <v>39940</v>
      </c>
      <c r="C253" s="21"/>
      <c r="D253" s="21">
        <v>39940</v>
      </c>
      <c r="F253" s="24"/>
      <c r="G253" s="24"/>
      <c r="H253" s="24"/>
      <c r="I253" s="24"/>
      <c r="J253" s="24"/>
      <c r="K253" s="24"/>
      <c r="L253" s="24"/>
    </row>
    <row r="254" spans="1:12" x14ac:dyDescent="0.25">
      <c r="A254" s="13" t="s">
        <v>89</v>
      </c>
      <c r="B254" s="21">
        <v>117400</v>
      </c>
      <c r="C254" s="21">
        <v>28460</v>
      </c>
      <c r="D254" s="21">
        <v>72930</v>
      </c>
      <c r="F254" s="24"/>
      <c r="G254" s="24"/>
      <c r="H254" s="24"/>
      <c r="I254" s="24"/>
      <c r="J254" s="24"/>
      <c r="K254" s="24"/>
      <c r="L254" s="24"/>
    </row>
    <row r="255" spans="1:12" x14ac:dyDescent="0.25">
      <c r="A255" s="13" t="s">
        <v>185</v>
      </c>
      <c r="B255" s="21"/>
      <c r="C255" s="21">
        <v>33970</v>
      </c>
      <c r="D255" s="21">
        <v>33970</v>
      </c>
      <c r="F255" s="24"/>
      <c r="G255" s="24"/>
      <c r="H255" s="24"/>
      <c r="I255" s="24"/>
      <c r="J255" s="24"/>
      <c r="K255" s="24"/>
      <c r="L255" s="24"/>
    </row>
    <row r="256" spans="1:12" x14ac:dyDescent="0.25">
      <c r="A256" s="13" t="s">
        <v>70</v>
      </c>
      <c r="B256" s="21">
        <v>60060</v>
      </c>
      <c r="C256" s="21"/>
      <c r="D256" s="21">
        <v>60060</v>
      </c>
      <c r="F256" s="24"/>
      <c r="G256" s="24"/>
      <c r="H256" s="24"/>
      <c r="I256" s="24"/>
      <c r="J256" s="24"/>
      <c r="K256" s="24"/>
      <c r="L256" s="24"/>
    </row>
    <row r="257" spans="1:12" x14ac:dyDescent="0.25">
      <c r="A257" s="13" t="s">
        <v>117</v>
      </c>
      <c r="B257" s="21">
        <v>63530</v>
      </c>
      <c r="C257" s="21"/>
      <c r="D257" s="21">
        <v>63530</v>
      </c>
      <c r="F257" s="24"/>
      <c r="G257" s="24"/>
      <c r="H257" s="24"/>
      <c r="I257" s="24"/>
      <c r="J257" s="24"/>
      <c r="K257" s="24"/>
      <c r="L257" s="24"/>
    </row>
    <row r="258" spans="1:12" x14ac:dyDescent="0.25">
      <c r="A258" s="13" t="s">
        <v>236</v>
      </c>
      <c r="B258" s="21"/>
      <c r="C258" s="21">
        <v>20530</v>
      </c>
      <c r="D258" s="21">
        <v>20530</v>
      </c>
      <c r="F258" s="24"/>
      <c r="G258" s="24"/>
      <c r="H258" s="24"/>
      <c r="I258" s="24"/>
      <c r="J258" s="24"/>
      <c r="K258" s="24"/>
      <c r="L258" s="24"/>
    </row>
    <row r="259" spans="1:12" x14ac:dyDescent="0.25">
      <c r="A259" s="13" t="s">
        <v>126</v>
      </c>
      <c r="B259" s="21"/>
      <c r="C259" s="21">
        <v>78610</v>
      </c>
      <c r="D259" s="21">
        <v>78610</v>
      </c>
      <c r="F259" s="24"/>
      <c r="G259" s="24"/>
      <c r="H259" s="24"/>
      <c r="I259" s="24"/>
      <c r="J259" s="24"/>
      <c r="K259" s="24"/>
      <c r="L259" s="24"/>
    </row>
    <row r="260" spans="1:12" x14ac:dyDescent="0.25">
      <c r="A260" s="13" t="s">
        <v>151</v>
      </c>
      <c r="B260" s="21">
        <v>86260</v>
      </c>
      <c r="C260" s="21">
        <v>41040</v>
      </c>
      <c r="D260" s="21">
        <v>63650</v>
      </c>
      <c r="F260" s="24"/>
      <c r="G260" s="24"/>
      <c r="H260" s="24"/>
      <c r="I260" s="24"/>
      <c r="J260" s="24"/>
      <c r="K260" s="24"/>
      <c r="L260" s="24"/>
    </row>
    <row r="261" spans="1:12" x14ac:dyDescent="0.25">
      <c r="A261" s="13" t="s">
        <v>49</v>
      </c>
      <c r="B261" s="21"/>
      <c r="C261" s="21">
        <v>56920</v>
      </c>
      <c r="D261" s="21">
        <v>56920</v>
      </c>
      <c r="F261" s="24"/>
      <c r="G261" s="24"/>
      <c r="H261" s="24"/>
      <c r="I261" s="24"/>
      <c r="J261" s="24"/>
      <c r="K261" s="24"/>
      <c r="L261" s="24"/>
    </row>
    <row r="262" spans="1:12" x14ac:dyDescent="0.25">
      <c r="A262" s="13" t="s">
        <v>383</v>
      </c>
      <c r="B262" s="17">
        <v>65146</v>
      </c>
      <c r="C262" s="17">
        <v>69200.800000000003</v>
      </c>
      <c r="D262" s="17">
        <v>67173.399999999994</v>
      </c>
      <c r="F262" s="24"/>
      <c r="G262" s="24"/>
      <c r="H262" s="24"/>
      <c r="I262" s="24"/>
      <c r="J262" s="24"/>
      <c r="K262" s="24"/>
      <c r="L262" s="24"/>
    </row>
    <row r="263" spans="1:12" x14ac:dyDescent="0.25">
      <c r="F263" s="24"/>
      <c r="G263" s="24"/>
      <c r="H263" s="24"/>
      <c r="I263" s="24"/>
      <c r="J263" s="24"/>
      <c r="K263" s="24"/>
      <c r="L263" s="24"/>
    </row>
    <row r="264" spans="1:12" x14ac:dyDescent="0.25">
      <c r="F264" s="24"/>
      <c r="G264" s="24"/>
      <c r="H264" s="24"/>
      <c r="I264" s="24"/>
      <c r="J264" s="24"/>
      <c r="K264" s="24"/>
      <c r="L264" s="24"/>
    </row>
    <row r="265" spans="1:12" x14ac:dyDescent="0.25">
      <c r="A265" s="12" t="s">
        <v>416</v>
      </c>
      <c r="B265" t="s">
        <v>420</v>
      </c>
      <c r="J265" s="24"/>
      <c r="K265" s="24"/>
      <c r="L265" s="24"/>
    </row>
    <row r="266" spans="1:12" x14ac:dyDescent="0.25">
      <c r="A266" s="13" t="s">
        <v>252</v>
      </c>
      <c r="B266" s="17">
        <v>103456.66666666667</v>
      </c>
      <c r="J266" s="24"/>
      <c r="K266" s="24"/>
      <c r="L266" s="24"/>
    </row>
    <row r="267" spans="1:12" x14ac:dyDescent="0.25">
      <c r="A267" s="13" t="s">
        <v>249</v>
      </c>
      <c r="B267" s="17">
        <v>62918.75</v>
      </c>
      <c r="J267" s="24"/>
      <c r="K267" s="24"/>
      <c r="L267" s="24"/>
    </row>
    <row r="268" spans="1:12" x14ac:dyDescent="0.25">
      <c r="A268" s="13" t="s">
        <v>250</v>
      </c>
      <c r="B268" s="17">
        <v>41503.333333333336</v>
      </c>
      <c r="F268" s="24"/>
      <c r="G268" s="24"/>
      <c r="H268" s="24"/>
      <c r="I268" s="24"/>
    </row>
    <row r="269" spans="1:12" x14ac:dyDescent="0.25">
      <c r="A269" s="13" t="s">
        <v>246</v>
      </c>
      <c r="B269" s="17">
        <v>42625</v>
      </c>
      <c r="F269" s="24"/>
      <c r="G269" s="24"/>
      <c r="H269" s="24"/>
      <c r="I269" s="24"/>
    </row>
    <row r="270" spans="1:12" x14ac:dyDescent="0.25">
      <c r="A270" s="13" t="s">
        <v>251</v>
      </c>
      <c r="B270" s="17">
        <v>68044.444444444438</v>
      </c>
      <c r="F270" s="24"/>
      <c r="G270" s="24"/>
      <c r="H270" s="24"/>
      <c r="I270" s="24"/>
    </row>
    <row r="271" spans="1:12" x14ac:dyDescent="0.25">
      <c r="A271" s="13" t="s">
        <v>248</v>
      </c>
      <c r="B271" s="17">
        <v>66682</v>
      </c>
      <c r="F271" s="24"/>
      <c r="G271" s="24"/>
      <c r="H271" s="24"/>
      <c r="I271" s="24"/>
    </row>
    <row r="272" spans="1:12" x14ac:dyDescent="0.25">
      <c r="A272" s="13" t="s">
        <v>254</v>
      </c>
      <c r="B272" s="17">
        <v>58430</v>
      </c>
      <c r="F272" s="24"/>
      <c r="G272" s="24"/>
      <c r="H272" s="24"/>
      <c r="I272" s="24"/>
    </row>
    <row r="273" spans="1:9" x14ac:dyDescent="0.25">
      <c r="A273" s="13" t="s">
        <v>253</v>
      </c>
      <c r="B273" s="17">
        <v>70293.333333333328</v>
      </c>
      <c r="F273" s="24"/>
      <c r="G273" s="24"/>
      <c r="H273" s="24"/>
      <c r="I273" s="24"/>
    </row>
    <row r="274" spans="1:9" x14ac:dyDescent="0.25">
      <c r="A274" s="13" t="s">
        <v>255</v>
      </c>
      <c r="B274" s="17">
        <v>37180</v>
      </c>
      <c r="F274" s="24"/>
      <c r="G274" s="24"/>
      <c r="H274" s="24"/>
      <c r="I274" s="24"/>
    </row>
    <row r="275" spans="1:9" x14ac:dyDescent="0.25">
      <c r="A275" s="13" t="s">
        <v>247</v>
      </c>
      <c r="B275" s="17">
        <v>73286</v>
      </c>
      <c r="F275" s="24"/>
      <c r="G275" s="24"/>
      <c r="H275" s="24"/>
      <c r="I275" s="24"/>
    </row>
    <row r="276" spans="1:9" x14ac:dyDescent="0.25">
      <c r="A276" s="13" t="s">
        <v>245</v>
      </c>
      <c r="B276" s="17">
        <v>80345.71428571429</v>
      </c>
      <c r="F276" s="24"/>
      <c r="G276" s="24"/>
      <c r="H276" s="24"/>
      <c r="I276" s="24"/>
    </row>
    <row r="277" spans="1:9" x14ac:dyDescent="0.25">
      <c r="A277" s="13" t="s">
        <v>383</v>
      </c>
      <c r="B277" s="17">
        <v>67173.399999999994</v>
      </c>
      <c r="F277" s="24"/>
      <c r="G277" s="24"/>
      <c r="H277" s="24"/>
      <c r="I277" s="24"/>
    </row>
    <row r="278" spans="1:9" x14ac:dyDescent="0.25">
      <c r="F278" s="24"/>
      <c r="G278" s="24"/>
      <c r="H278" s="24"/>
      <c r="I278" s="24"/>
    </row>
    <row r="279" spans="1:9" x14ac:dyDescent="0.25">
      <c r="F279" s="24"/>
      <c r="G279" s="24"/>
      <c r="H279" s="24"/>
      <c r="I279" s="24"/>
    </row>
    <row r="280" spans="1:9" x14ac:dyDescent="0.25">
      <c r="F280" s="24"/>
      <c r="G280" s="24"/>
      <c r="H280" s="24"/>
      <c r="I280" s="24"/>
    </row>
    <row r="281" spans="1:9" x14ac:dyDescent="0.25">
      <c r="A281" s="12" t="s">
        <v>416</v>
      </c>
      <c r="B281" t="s">
        <v>421</v>
      </c>
      <c r="F281" s="24"/>
      <c r="G281" s="24"/>
      <c r="H281" s="24"/>
      <c r="I281" s="24"/>
    </row>
    <row r="282" spans="1:9" x14ac:dyDescent="0.25">
      <c r="A282" s="13" t="s">
        <v>245</v>
      </c>
      <c r="B282" s="16">
        <v>7</v>
      </c>
      <c r="F282" s="24"/>
      <c r="G282" s="24"/>
      <c r="H282" s="24"/>
      <c r="I282" s="24"/>
    </row>
    <row r="283" spans="1:9" x14ac:dyDescent="0.25">
      <c r="A283" s="13" t="s">
        <v>247</v>
      </c>
      <c r="B283" s="16">
        <v>5</v>
      </c>
      <c r="F283" s="24"/>
      <c r="G283" s="24"/>
      <c r="H283" s="24"/>
      <c r="I283" s="24"/>
    </row>
    <row r="284" spans="1:9" x14ac:dyDescent="0.25">
      <c r="A284" s="13" t="s">
        <v>255</v>
      </c>
      <c r="B284" s="16">
        <v>2</v>
      </c>
      <c r="F284" s="24"/>
      <c r="G284" s="24"/>
      <c r="H284" s="24"/>
      <c r="I284" s="24"/>
    </row>
    <row r="285" spans="1:9" x14ac:dyDescent="0.25">
      <c r="A285" s="13" t="s">
        <v>253</v>
      </c>
      <c r="B285" s="16">
        <v>3</v>
      </c>
      <c r="F285" s="24"/>
      <c r="G285" s="24"/>
      <c r="H285" s="24"/>
      <c r="I285" s="24"/>
    </row>
    <row r="286" spans="1:9" x14ac:dyDescent="0.25">
      <c r="A286" s="13" t="s">
        <v>254</v>
      </c>
      <c r="B286" s="16">
        <v>2</v>
      </c>
      <c r="F286" s="24"/>
      <c r="G286" s="24"/>
      <c r="H286" s="24"/>
      <c r="I286" s="24"/>
    </row>
    <row r="287" spans="1:9" x14ac:dyDescent="0.25">
      <c r="A287" s="13" t="s">
        <v>248</v>
      </c>
      <c r="B287" s="16">
        <v>5</v>
      </c>
      <c r="F287" s="24"/>
      <c r="G287" s="24"/>
      <c r="H287" s="24"/>
      <c r="I287" s="24"/>
    </row>
    <row r="288" spans="1:9" x14ac:dyDescent="0.25">
      <c r="A288" s="13" t="s">
        <v>251</v>
      </c>
      <c r="B288" s="16">
        <v>8</v>
      </c>
      <c r="F288" s="24"/>
      <c r="G288" s="24"/>
      <c r="H288" s="24"/>
      <c r="I288" s="24"/>
    </row>
    <row r="289" spans="1:9" x14ac:dyDescent="0.25">
      <c r="A289" s="13" t="s">
        <v>246</v>
      </c>
      <c r="B289" s="16">
        <v>2</v>
      </c>
      <c r="F289" s="24"/>
      <c r="G289" s="24"/>
      <c r="H289" s="24"/>
      <c r="I289" s="24"/>
    </row>
    <row r="290" spans="1:9" x14ac:dyDescent="0.25">
      <c r="A290" s="13" t="s">
        <v>250</v>
      </c>
      <c r="B290" s="16">
        <v>3</v>
      </c>
      <c r="F290" s="24"/>
      <c r="G290" s="24"/>
      <c r="H290" s="24"/>
      <c r="I290" s="24"/>
    </row>
    <row r="291" spans="1:9" x14ac:dyDescent="0.25">
      <c r="A291" s="13" t="s">
        <v>249</v>
      </c>
      <c r="B291" s="16">
        <v>8</v>
      </c>
      <c r="F291" s="24"/>
      <c r="G291" s="24"/>
      <c r="H291" s="24"/>
      <c r="I291" s="24"/>
    </row>
    <row r="292" spans="1:9" x14ac:dyDescent="0.25">
      <c r="A292" s="13" t="s">
        <v>252</v>
      </c>
      <c r="B292" s="16">
        <v>3</v>
      </c>
      <c r="F292" s="24"/>
      <c r="G292" s="24"/>
      <c r="H292" s="24"/>
      <c r="I292" s="24"/>
    </row>
    <row r="293" spans="1:9" x14ac:dyDescent="0.25">
      <c r="A293" s="13" t="s">
        <v>383</v>
      </c>
      <c r="B293" s="16">
        <v>32</v>
      </c>
      <c r="F293" s="24"/>
      <c r="G293" s="24"/>
      <c r="H293" s="24"/>
      <c r="I293" s="24"/>
    </row>
    <row r="294" spans="1:9" x14ac:dyDescent="0.25">
      <c r="F294" s="24"/>
      <c r="G294" s="24"/>
      <c r="H294" s="24"/>
      <c r="I294" s="24"/>
    </row>
    <row r="295" spans="1:9" x14ac:dyDescent="0.25">
      <c r="E295" s="24"/>
      <c r="G295" s="24"/>
      <c r="H295" s="24"/>
      <c r="I295" s="24"/>
    </row>
    <row r="296" spans="1:9" x14ac:dyDescent="0.25">
      <c r="A296" s="12" t="s">
        <v>422</v>
      </c>
      <c r="B296" t="s">
        <v>421</v>
      </c>
      <c r="E296" s="24"/>
      <c r="G296" s="24"/>
      <c r="H296" s="24"/>
      <c r="I296" s="24"/>
    </row>
    <row r="297" spans="1:9" x14ac:dyDescent="0.25">
      <c r="A297" s="13" t="s">
        <v>438</v>
      </c>
      <c r="B297" s="16">
        <v>15</v>
      </c>
      <c r="E297" s="24"/>
    </row>
    <row r="298" spans="1:9" x14ac:dyDescent="0.25">
      <c r="A298" s="13" t="s">
        <v>439</v>
      </c>
      <c r="B298" s="16">
        <v>17</v>
      </c>
      <c r="E298" s="24"/>
    </row>
    <row r="299" spans="1:9" x14ac:dyDescent="0.25">
      <c r="A299" s="13" t="s">
        <v>383</v>
      </c>
      <c r="B299" s="16">
        <v>32</v>
      </c>
      <c r="E299" s="24"/>
    </row>
    <row r="300" spans="1:9" x14ac:dyDescent="0.25">
      <c r="E300" s="24"/>
    </row>
    <row r="301" spans="1:9" x14ac:dyDescent="0.25">
      <c r="E301" s="24"/>
    </row>
    <row r="302" spans="1:9" x14ac:dyDescent="0.25">
      <c r="E302" s="24"/>
    </row>
    <row r="303" spans="1:9" x14ac:dyDescent="0.25">
      <c r="E303" s="24"/>
    </row>
    <row r="304" spans="1:9" x14ac:dyDescent="0.25">
      <c r="E304" s="24"/>
    </row>
    <row r="305" spans="5:5" x14ac:dyDescent="0.25">
      <c r="E305" s="24"/>
    </row>
    <row r="306" spans="5:5" x14ac:dyDescent="0.25">
      <c r="E306" s="24"/>
    </row>
    <row r="307" spans="5:5" x14ac:dyDescent="0.25">
      <c r="E307" s="24"/>
    </row>
    <row r="308" spans="5:5" x14ac:dyDescent="0.25">
      <c r="E308" s="24"/>
    </row>
    <row r="309" spans="5:5" x14ac:dyDescent="0.25">
      <c r="E309" s="24"/>
    </row>
    <row r="310" spans="5:5" x14ac:dyDescent="0.25">
      <c r="E310" s="24"/>
    </row>
    <row r="311" spans="5:5" x14ac:dyDescent="0.25">
      <c r="E311" s="24"/>
    </row>
    <row r="312" spans="5:5" x14ac:dyDescent="0.25">
      <c r="E312" s="24"/>
    </row>
    <row r="313" spans="5:5" x14ac:dyDescent="0.25">
      <c r="E313" s="24"/>
    </row>
    <row r="314" spans="5:5" x14ac:dyDescent="0.25">
      <c r="E314" s="24"/>
    </row>
    <row r="315" spans="5:5" x14ac:dyDescent="0.25">
      <c r="E315" s="24"/>
    </row>
    <row r="316" spans="5:5" x14ac:dyDescent="0.25">
      <c r="E316" s="24"/>
    </row>
    <row r="317" spans="5:5" x14ac:dyDescent="0.25">
      <c r="E317" s="24"/>
    </row>
    <row r="318" spans="5:5" x14ac:dyDescent="0.25">
      <c r="E318" s="24"/>
    </row>
    <row r="319" spans="5:5" x14ac:dyDescent="0.25">
      <c r="E319" s="24"/>
    </row>
    <row r="320" spans="5:5" x14ac:dyDescent="0.25">
      <c r="E320" s="24"/>
    </row>
    <row r="321" spans="5:5" x14ac:dyDescent="0.25">
      <c r="E321" s="24"/>
    </row>
    <row r="322" spans="5:5" x14ac:dyDescent="0.25">
      <c r="E322" s="24"/>
    </row>
    <row r="323" spans="5:5" x14ac:dyDescent="0.25">
      <c r="E323" s="24"/>
    </row>
    <row r="324" spans="5:5" x14ac:dyDescent="0.25">
      <c r="E324" s="24"/>
    </row>
    <row r="325" spans="5:5" x14ac:dyDescent="0.25">
      <c r="E325" s="24"/>
    </row>
    <row r="326" spans="5:5" x14ac:dyDescent="0.25">
      <c r="E326" s="24"/>
    </row>
    <row r="327" spans="5:5" x14ac:dyDescent="0.25">
      <c r="E327" s="24"/>
    </row>
    <row r="328" spans="5:5" x14ac:dyDescent="0.25">
      <c r="E328" s="24"/>
    </row>
    <row r="329" spans="5:5" x14ac:dyDescent="0.25">
      <c r="E329" s="24"/>
    </row>
    <row r="330" spans="5:5" x14ac:dyDescent="0.25">
      <c r="E330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74DCB-4F87-4E5D-94A9-7E69880CD8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Location Details</vt:lpstr>
      <vt:lpstr>Sports Details</vt:lpstr>
      <vt:lpstr>Sportsmen</vt:lpstr>
      <vt:lpstr>Sportsmen-Fisal (Refined) </vt:lpstr>
      <vt:lpstr>Sportsmen-Fisal(Table)</vt:lpstr>
      <vt:lpstr>Sportsmen-Fisal (Analysis)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Chakraborty</dc:creator>
  <cp:lastModifiedBy>Anik Chakraborty</cp:lastModifiedBy>
  <dcterms:created xsi:type="dcterms:W3CDTF">2025-07-19T11:01:09Z</dcterms:created>
  <dcterms:modified xsi:type="dcterms:W3CDTF">2026-02-27T16:35:13Z</dcterms:modified>
</cp:coreProperties>
</file>